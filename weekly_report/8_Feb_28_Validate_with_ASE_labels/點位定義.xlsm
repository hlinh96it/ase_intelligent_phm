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6335" windowHeight="7830" firstSheet="3" activeTab="4"/>
  </bookViews>
  <sheets>
    <sheet name="RLK3858AST" sheetId="7" state="hidden" r:id="rId1"/>
    <sheet name="Bond1" sheetId="1" state="hidden" r:id="rId2"/>
    <sheet name="Bond2" sheetId="2" state="hidden" r:id="rId3"/>
    <sheet name="切割位置定義" sheetId="6" r:id="rId4"/>
    <sheet name="原始資料vs平滑資料" sheetId="10" r:id="rId5"/>
    <sheet name="線群" sheetId="8" state="hidden" r:id="rId6"/>
    <sheet name="工作表1" sheetId="9" state="hidden" r:id="rId7"/>
    <sheet name="工作表2" sheetId="11" state="hidden" r:id="rId8"/>
    <sheet name="工作表3" sheetId="12" state="hidden" r:id="rId9"/>
  </sheets>
  <definedNames>
    <definedName name="_xlnm._FilterDatabase" localSheetId="0" hidden="1">RLK3858AST!$A$1:$U$363</definedName>
    <definedName name="_xlnm._FilterDatabase" localSheetId="7" hidden="1">工作表2!$H$1:$I$17</definedName>
    <definedName name="_xlnm._FilterDatabase" localSheetId="4" hidden="1">原始資料vs平滑資料!$A$1:$J$1045</definedName>
  </definedNames>
  <calcPr calcId="145621"/>
</workbook>
</file>

<file path=xl/calcChain.xml><?xml version="1.0" encoding="utf-8"?>
<calcChain xmlns="http://schemas.openxmlformats.org/spreadsheetml/2006/main">
  <c r="K142" i="10" l="1"/>
  <c r="K143" i="10"/>
  <c r="K144" i="10"/>
  <c r="K145" i="10"/>
  <c r="K146" i="10"/>
  <c r="K147" i="10"/>
  <c r="K148" i="10"/>
  <c r="K149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23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3" i="10"/>
  <c r="K2" i="10"/>
  <c r="D3" i="11" l="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2" i="11"/>
  <c r="I3" i="11" s="1"/>
  <c r="J121" i="10"/>
  <c r="H121" i="10"/>
  <c r="J120" i="10"/>
  <c r="H120" i="10"/>
  <c r="J119" i="10"/>
  <c r="H119" i="10"/>
  <c r="J118" i="10"/>
  <c r="H118" i="10"/>
  <c r="J117" i="10"/>
  <c r="H117" i="10"/>
  <c r="J116" i="10"/>
  <c r="H116" i="10"/>
  <c r="J115" i="10"/>
  <c r="H115" i="10"/>
  <c r="J114" i="10"/>
  <c r="H114" i="10"/>
  <c r="J113" i="10"/>
  <c r="H113" i="10"/>
  <c r="J112" i="10"/>
  <c r="H112" i="10"/>
  <c r="J111" i="10"/>
  <c r="H111" i="10"/>
  <c r="J110" i="10"/>
  <c r="H110" i="10"/>
  <c r="J109" i="10"/>
  <c r="H109" i="10"/>
  <c r="J108" i="10"/>
  <c r="H108" i="10"/>
  <c r="J107" i="10"/>
  <c r="H107" i="10"/>
  <c r="J106" i="10"/>
  <c r="H106" i="10"/>
  <c r="J105" i="10"/>
  <c r="H105" i="10"/>
  <c r="J104" i="10"/>
  <c r="H104" i="10"/>
  <c r="J103" i="10"/>
  <c r="H103" i="10"/>
  <c r="J102" i="10"/>
  <c r="H102" i="10"/>
  <c r="J101" i="10"/>
  <c r="H101" i="10"/>
  <c r="J100" i="10"/>
  <c r="H100" i="10"/>
  <c r="J99" i="10"/>
  <c r="H99" i="10"/>
  <c r="J98" i="10"/>
  <c r="H98" i="10"/>
  <c r="J97" i="10"/>
  <c r="H97" i="10"/>
  <c r="J96" i="10"/>
  <c r="H96" i="10"/>
  <c r="J95" i="10"/>
  <c r="H95" i="10"/>
  <c r="J94" i="10"/>
  <c r="H94" i="10"/>
  <c r="J93" i="10"/>
  <c r="H93" i="10"/>
  <c r="H92" i="10"/>
  <c r="J91" i="10"/>
  <c r="H91" i="10"/>
  <c r="J90" i="10"/>
  <c r="H90" i="10"/>
  <c r="J89" i="10"/>
  <c r="H89" i="10"/>
  <c r="J88" i="10"/>
  <c r="H88" i="10"/>
  <c r="J87" i="10"/>
  <c r="H87" i="10"/>
  <c r="J86" i="10"/>
  <c r="H86" i="10"/>
  <c r="J85" i="10"/>
  <c r="H85" i="10"/>
  <c r="J84" i="10"/>
  <c r="H84" i="10"/>
  <c r="J83" i="10"/>
  <c r="H83" i="10"/>
  <c r="J82" i="10"/>
  <c r="H82" i="10"/>
  <c r="J81" i="10"/>
  <c r="H81" i="10"/>
  <c r="J80" i="10"/>
  <c r="H80" i="10"/>
  <c r="J79" i="10"/>
  <c r="H79" i="10"/>
  <c r="J78" i="10"/>
  <c r="H78" i="10"/>
  <c r="J77" i="10"/>
  <c r="H77" i="10"/>
  <c r="J76" i="10"/>
  <c r="H76" i="10"/>
  <c r="J75" i="10"/>
  <c r="H75" i="10"/>
  <c r="J74" i="10"/>
  <c r="H74" i="10"/>
  <c r="J73" i="10"/>
  <c r="H73" i="10"/>
  <c r="J72" i="10"/>
  <c r="H72" i="10"/>
  <c r="J71" i="10"/>
  <c r="H71" i="10"/>
  <c r="J70" i="10"/>
  <c r="H70" i="10"/>
  <c r="J69" i="10"/>
  <c r="H69" i="10"/>
  <c r="J68" i="10"/>
  <c r="H68" i="10"/>
  <c r="J67" i="10"/>
  <c r="H67" i="10"/>
  <c r="J66" i="10"/>
  <c r="H66" i="10"/>
  <c r="J65" i="10"/>
  <c r="H65" i="10"/>
  <c r="J64" i="10"/>
  <c r="H64" i="10"/>
  <c r="J63" i="10"/>
  <c r="H63" i="10"/>
  <c r="H62" i="10"/>
  <c r="J61" i="10"/>
  <c r="H61" i="10"/>
  <c r="J60" i="10"/>
  <c r="H60" i="10"/>
  <c r="J59" i="10"/>
  <c r="H59" i="10"/>
  <c r="J58" i="10"/>
  <c r="H58" i="10"/>
  <c r="J57" i="10"/>
  <c r="H57" i="10"/>
  <c r="J56" i="10"/>
  <c r="H56" i="10"/>
  <c r="J55" i="10"/>
  <c r="H55" i="10"/>
  <c r="J54" i="10"/>
  <c r="H54" i="10"/>
  <c r="J53" i="10"/>
  <c r="H53" i="10"/>
  <c r="J52" i="10"/>
  <c r="H52" i="10"/>
  <c r="J51" i="10"/>
  <c r="H51" i="10"/>
  <c r="J50" i="10"/>
  <c r="H50" i="10"/>
  <c r="J49" i="10"/>
  <c r="H49" i="10"/>
  <c r="J48" i="10"/>
  <c r="H48" i="10"/>
  <c r="J47" i="10"/>
  <c r="H47" i="10"/>
  <c r="J46" i="10"/>
  <c r="H46" i="10"/>
  <c r="J45" i="10"/>
  <c r="H45" i="10"/>
  <c r="J44" i="10"/>
  <c r="H44" i="10"/>
  <c r="J43" i="10"/>
  <c r="H43" i="10"/>
  <c r="J42" i="10"/>
  <c r="H42" i="10"/>
  <c r="J41" i="10"/>
  <c r="H41" i="10"/>
  <c r="J40" i="10"/>
  <c r="H40" i="10"/>
  <c r="J39" i="10"/>
  <c r="H39" i="10"/>
  <c r="J38" i="10"/>
  <c r="H38" i="10"/>
  <c r="J37" i="10"/>
  <c r="H37" i="10"/>
  <c r="J36" i="10"/>
  <c r="H36" i="10"/>
  <c r="J35" i="10"/>
  <c r="H35" i="10"/>
  <c r="J34" i="10"/>
  <c r="H34" i="10"/>
  <c r="J33" i="10"/>
  <c r="H33" i="10"/>
  <c r="H32" i="10"/>
  <c r="J31" i="10"/>
  <c r="H31" i="10"/>
  <c r="J30" i="10"/>
  <c r="H30" i="10"/>
  <c r="J29" i="10"/>
  <c r="H29" i="10"/>
  <c r="J28" i="10"/>
  <c r="H28" i="10"/>
  <c r="J27" i="10"/>
  <c r="H27" i="10"/>
  <c r="J26" i="10"/>
  <c r="H26" i="10"/>
  <c r="J25" i="10"/>
  <c r="H25" i="10"/>
  <c r="J24" i="10"/>
  <c r="H24" i="10"/>
  <c r="J23" i="10"/>
  <c r="H23" i="10"/>
  <c r="J22" i="10"/>
  <c r="H22" i="10"/>
  <c r="J21" i="10"/>
  <c r="H21" i="10"/>
  <c r="J20" i="10"/>
  <c r="H20" i="10"/>
  <c r="J19" i="10"/>
  <c r="H19" i="10"/>
  <c r="J18" i="10"/>
  <c r="H18" i="10"/>
  <c r="J17" i="10"/>
  <c r="H17" i="10"/>
  <c r="J16" i="10"/>
  <c r="H16" i="10"/>
  <c r="J15" i="10"/>
  <c r="H15" i="10"/>
  <c r="J14" i="10"/>
  <c r="H14" i="10"/>
  <c r="J13" i="10"/>
  <c r="H13" i="10"/>
  <c r="J12" i="10"/>
  <c r="H12" i="10"/>
  <c r="J11" i="10"/>
  <c r="H11" i="10"/>
  <c r="J10" i="10"/>
  <c r="H10" i="10"/>
  <c r="J9" i="10"/>
  <c r="H9" i="10"/>
  <c r="J8" i="10"/>
  <c r="H8" i="10"/>
  <c r="J7" i="10"/>
  <c r="H7" i="10"/>
  <c r="J6" i="10"/>
  <c r="H6" i="10"/>
  <c r="J5" i="10"/>
  <c r="H5" i="10"/>
  <c r="J4" i="10"/>
  <c r="H4" i="10"/>
  <c r="J3" i="10"/>
  <c r="H3" i="10"/>
  <c r="H2" i="10"/>
  <c r="J1045" i="10"/>
  <c r="H1045" i="10"/>
  <c r="J1044" i="10"/>
  <c r="H1044" i="10"/>
  <c r="J1043" i="10"/>
  <c r="H1043" i="10"/>
  <c r="J1042" i="10"/>
  <c r="H1042" i="10"/>
  <c r="J1041" i="10"/>
  <c r="H1041" i="10"/>
  <c r="J1040" i="10"/>
  <c r="H1040" i="10"/>
  <c r="J1039" i="10"/>
  <c r="H1039" i="10"/>
  <c r="J1038" i="10"/>
  <c r="H1038" i="10"/>
  <c r="J1037" i="10"/>
  <c r="H1037" i="10"/>
  <c r="J1036" i="10"/>
  <c r="H1036" i="10"/>
  <c r="J1035" i="10"/>
  <c r="H1035" i="10"/>
  <c r="J1034" i="10"/>
  <c r="H1034" i="10"/>
  <c r="J1033" i="10"/>
  <c r="H1033" i="10"/>
  <c r="J1032" i="10"/>
  <c r="H1032" i="10"/>
  <c r="J1031" i="10"/>
  <c r="H1031" i="10"/>
  <c r="J1030" i="10"/>
  <c r="H1030" i="10"/>
  <c r="J1029" i="10"/>
  <c r="H1029" i="10"/>
  <c r="J1028" i="10"/>
  <c r="H1028" i="10"/>
  <c r="J1027" i="10"/>
  <c r="H1027" i="10"/>
  <c r="J1026" i="10"/>
  <c r="H1026" i="10"/>
  <c r="J1025" i="10"/>
  <c r="H1025" i="10"/>
  <c r="J1024" i="10"/>
  <c r="H1024" i="10"/>
  <c r="J1023" i="10"/>
  <c r="H1023" i="10"/>
  <c r="J1022" i="10"/>
  <c r="H1022" i="10"/>
  <c r="J1021" i="10"/>
  <c r="H1021" i="10"/>
  <c r="J1020" i="10"/>
  <c r="H1020" i="10"/>
  <c r="J1019" i="10"/>
  <c r="H1019" i="10"/>
  <c r="J1018" i="10"/>
  <c r="H1018" i="10"/>
  <c r="J1017" i="10"/>
  <c r="H1017" i="10"/>
  <c r="H1016" i="10"/>
  <c r="J1015" i="10"/>
  <c r="H1015" i="10"/>
  <c r="J1014" i="10"/>
  <c r="H1014" i="10"/>
  <c r="J1013" i="10"/>
  <c r="H1013" i="10"/>
  <c r="J1012" i="10"/>
  <c r="H1012" i="10"/>
  <c r="J1011" i="10"/>
  <c r="H1011" i="10"/>
  <c r="J1010" i="10"/>
  <c r="H1010" i="10"/>
  <c r="J1009" i="10"/>
  <c r="H1009" i="10"/>
  <c r="J1008" i="10"/>
  <c r="H1008" i="10"/>
  <c r="J1007" i="10"/>
  <c r="H1007" i="10"/>
  <c r="J1006" i="10"/>
  <c r="H1006" i="10"/>
  <c r="J1005" i="10"/>
  <c r="H1005" i="10"/>
  <c r="J1004" i="10"/>
  <c r="H1004" i="10"/>
  <c r="J1003" i="10"/>
  <c r="H1003" i="10"/>
  <c r="J1002" i="10"/>
  <c r="H1002" i="10"/>
  <c r="J1001" i="10"/>
  <c r="H1001" i="10"/>
  <c r="J1000" i="10"/>
  <c r="H1000" i="10"/>
  <c r="J999" i="10"/>
  <c r="H999" i="10"/>
  <c r="J998" i="10"/>
  <c r="H998" i="10"/>
  <c r="J997" i="10"/>
  <c r="H997" i="10"/>
  <c r="J996" i="10"/>
  <c r="H996" i="10"/>
  <c r="J995" i="10"/>
  <c r="H995" i="10"/>
  <c r="J994" i="10"/>
  <c r="H994" i="10"/>
  <c r="J993" i="10"/>
  <c r="H993" i="10"/>
  <c r="J992" i="10"/>
  <c r="H992" i="10"/>
  <c r="J991" i="10"/>
  <c r="H991" i="10"/>
  <c r="J990" i="10"/>
  <c r="H990" i="10"/>
  <c r="J989" i="10"/>
  <c r="H989" i="10"/>
  <c r="J988" i="10"/>
  <c r="H988" i="10"/>
  <c r="J987" i="10"/>
  <c r="H987" i="10"/>
  <c r="H986" i="10"/>
  <c r="J985" i="10"/>
  <c r="H985" i="10"/>
  <c r="J984" i="10"/>
  <c r="H984" i="10"/>
  <c r="J983" i="10"/>
  <c r="H983" i="10"/>
  <c r="J982" i="10"/>
  <c r="H982" i="10"/>
  <c r="J981" i="10"/>
  <c r="H981" i="10"/>
  <c r="J980" i="10"/>
  <c r="H980" i="10"/>
  <c r="J979" i="10"/>
  <c r="H979" i="10"/>
  <c r="J978" i="10"/>
  <c r="H978" i="10"/>
  <c r="J977" i="10"/>
  <c r="H977" i="10"/>
  <c r="J976" i="10"/>
  <c r="H976" i="10"/>
  <c r="J975" i="10"/>
  <c r="H975" i="10"/>
  <c r="J974" i="10"/>
  <c r="H974" i="10"/>
  <c r="J973" i="10"/>
  <c r="H973" i="10"/>
  <c r="J972" i="10"/>
  <c r="H972" i="10"/>
  <c r="J971" i="10"/>
  <c r="H971" i="10"/>
  <c r="J970" i="10"/>
  <c r="H970" i="10"/>
  <c r="J969" i="10"/>
  <c r="H969" i="10"/>
  <c r="J968" i="10"/>
  <c r="H968" i="10"/>
  <c r="J967" i="10"/>
  <c r="H967" i="10"/>
  <c r="J966" i="10"/>
  <c r="H966" i="10"/>
  <c r="J965" i="10"/>
  <c r="H965" i="10"/>
  <c r="J964" i="10"/>
  <c r="H964" i="10"/>
  <c r="J963" i="10"/>
  <c r="H963" i="10"/>
  <c r="J962" i="10"/>
  <c r="H962" i="10"/>
  <c r="J961" i="10"/>
  <c r="H961" i="10"/>
  <c r="J960" i="10"/>
  <c r="H960" i="10"/>
  <c r="J959" i="10"/>
  <c r="H959" i="10"/>
  <c r="J958" i="10"/>
  <c r="H958" i="10"/>
  <c r="J957" i="10"/>
  <c r="H957" i="10"/>
  <c r="H956" i="10"/>
  <c r="J955" i="10"/>
  <c r="H955" i="10"/>
  <c r="J954" i="10"/>
  <c r="H954" i="10"/>
  <c r="J953" i="10"/>
  <c r="H953" i="10"/>
  <c r="J952" i="10"/>
  <c r="H952" i="10"/>
  <c r="J951" i="10"/>
  <c r="H951" i="10"/>
  <c r="J950" i="10"/>
  <c r="H950" i="10"/>
  <c r="J949" i="10"/>
  <c r="H949" i="10"/>
  <c r="J948" i="10"/>
  <c r="H948" i="10"/>
  <c r="J947" i="10"/>
  <c r="H947" i="10"/>
  <c r="J946" i="10"/>
  <c r="H946" i="10"/>
  <c r="J945" i="10"/>
  <c r="H945" i="10"/>
  <c r="J944" i="10"/>
  <c r="H944" i="10"/>
  <c r="J943" i="10"/>
  <c r="H943" i="10"/>
  <c r="J942" i="10"/>
  <c r="H942" i="10"/>
  <c r="J941" i="10"/>
  <c r="H941" i="10"/>
  <c r="J940" i="10"/>
  <c r="H940" i="10"/>
  <c r="J939" i="10"/>
  <c r="H939" i="10"/>
  <c r="J938" i="10"/>
  <c r="H938" i="10"/>
  <c r="J937" i="10"/>
  <c r="H937" i="10"/>
  <c r="J936" i="10"/>
  <c r="H936" i="10"/>
  <c r="J935" i="10"/>
  <c r="H935" i="10"/>
  <c r="J934" i="10"/>
  <c r="H934" i="10"/>
  <c r="J933" i="10"/>
  <c r="H933" i="10"/>
  <c r="J932" i="10"/>
  <c r="H932" i="10"/>
  <c r="J931" i="10"/>
  <c r="H931" i="10"/>
  <c r="J930" i="10"/>
  <c r="H930" i="10"/>
  <c r="J929" i="10"/>
  <c r="H929" i="10"/>
  <c r="J928" i="10"/>
  <c r="H928" i="10"/>
  <c r="J927" i="10"/>
  <c r="H927" i="10"/>
  <c r="H926" i="10"/>
  <c r="J925" i="10"/>
  <c r="H925" i="10"/>
  <c r="J924" i="10"/>
  <c r="H924" i="10"/>
  <c r="J923" i="10"/>
  <c r="H923" i="10"/>
  <c r="J922" i="10"/>
  <c r="H922" i="10"/>
  <c r="J921" i="10"/>
  <c r="H921" i="10"/>
  <c r="J920" i="10"/>
  <c r="H920" i="10"/>
  <c r="J919" i="10"/>
  <c r="H919" i="10"/>
  <c r="J918" i="10"/>
  <c r="H918" i="10"/>
  <c r="J917" i="10"/>
  <c r="H917" i="10"/>
  <c r="J916" i="10"/>
  <c r="H916" i="10"/>
  <c r="J915" i="10"/>
  <c r="H915" i="10"/>
  <c r="J914" i="10"/>
  <c r="H914" i="10"/>
  <c r="J913" i="10"/>
  <c r="H913" i="10"/>
  <c r="J912" i="10"/>
  <c r="H912" i="10"/>
  <c r="J911" i="10"/>
  <c r="H911" i="10"/>
  <c r="J910" i="10"/>
  <c r="H910" i="10"/>
  <c r="J909" i="10"/>
  <c r="H909" i="10"/>
  <c r="J908" i="10"/>
  <c r="H908" i="10"/>
  <c r="J907" i="10"/>
  <c r="H907" i="10"/>
  <c r="J906" i="10"/>
  <c r="H906" i="10"/>
  <c r="J905" i="10"/>
  <c r="H905" i="10"/>
  <c r="J904" i="10"/>
  <c r="H904" i="10"/>
  <c r="J903" i="10"/>
  <c r="H903" i="10"/>
  <c r="J902" i="10"/>
  <c r="H902" i="10"/>
  <c r="J901" i="10"/>
  <c r="H901" i="10"/>
  <c r="J900" i="10"/>
  <c r="H900" i="10"/>
  <c r="J899" i="10"/>
  <c r="H899" i="10"/>
  <c r="J898" i="10"/>
  <c r="H898" i="10"/>
  <c r="J897" i="10"/>
  <c r="H897" i="10"/>
  <c r="H896" i="10"/>
  <c r="J895" i="10"/>
  <c r="H895" i="10"/>
  <c r="J894" i="10"/>
  <c r="H894" i="10"/>
  <c r="J893" i="10"/>
  <c r="H893" i="10"/>
  <c r="J892" i="10"/>
  <c r="H892" i="10"/>
  <c r="J891" i="10"/>
  <c r="H891" i="10"/>
  <c r="J890" i="10"/>
  <c r="H890" i="10"/>
  <c r="J889" i="10"/>
  <c r="H889" i="10"/>
  <c r="J888" i="10"/>
  <c r="H888" i="10"/>
  <c r="J887" i="10"/>
  <c r="H887" i="10"/>
  <c r="J886" i="10"/>
  <c r="H886" i="10"/>
  <c r="J885" i="10"/>
  <c r="H885" i="10"/>
  <c r="J884" i="10"/>
  <c r="H884" i="10"/>
  <c r="J883" i="10"/>
  <c r="H883" i="10"/>
  <c r="J882" i="10"/>
  <c r="H882" i="10"/>
  <c r="J881" i="10"/>
  <c r="H881" i="10"/>
  <c r="J880" i="10"/>
  <c r="H880" i="10"/>
  <c r="J879" i="10"/>
  <c r="H879" i="10"/>
  <c r="J878" i="10"/>
  <c r="H878" i="10"/>
  <c r="J877" i="10"/>
  <c r="H877" i="10"/>
  <c r="J876" i="10"/>
  <c r="H876" i="10"/>
  <c r="J875" i="10"/>
  <c r="H875" i="10"/>
  <c r="J874" i="10"/>
  <c r="H874" i="10"/>
  <c r="J873" i="10"/>
  <c r="H873" i="10"/>
  <c r="J872" i="10"/>
  <c r="H872" i="10"/>
  <c r="J871" i="10"/>
  <c r="H871" i="10"/>
  <c r="J870" i="10"/>
  <c r="H870" i="10"/>
  <c r="J869" i="10"/>
  <c r="H869" i="10"/>
  <c r="J868" i="10"/>
  <c r="H868" i="10"/>
  <c r="J867" i="10"/>
  <c r="H867" i="10"/>
  <c r="H866" i="10"/>
  <c r="J865" i="10"/>
  <c r="H865" i="10"/>
  <c r="J864" i="10"/>
  <c r="H864" i="10"/>
  <c r="J863" i="10"/>
  <c r="H863" i="10"/>
  <c r="J862" i="10"/>
  <c r="H862" i="10"/>
  <c r="J861" i="10"/>
  <c r="H861" i="10"/>
  <c r="J860" i="10"/>
  <c r="H860" i="10"/>
  <c r="J859" i="10"/>
  <c r="H859" i="10"/>
  <c r="J858" i="10"/>
  <c r="H858" i="10"/>
  <c r="J857" i="10"/>
  <c r="H857" i="10"/>
  <c r="J856" i="10"/>
  <c r="H856" i="10"/>
  <c r="J855" i="10"/>
  <c r="H855" i="10"/>
  <c r="J854" i="10"/>
  <c r="H854" i="10"/>
  <c r="J853" i="10"/>
  <c r="H853" i="10"/>
  <c r="J852" i="10"/>
  <c r="H852" i="10"/>
  <c r="J851" i="10"/>
  <c r="H851" i="10"/>
  <c r="J850" i="10"/>
  <c r="H850" i="10"/>
  <c r="J849" i="10"/>
  <c r="H849" i="10"/>
  <c r="J848" i="10"/>
  <c r="H848" i="10"/>
  <c r="J847" i="10"/>
  <c r="H847" i="10"/>
  <c r="J846" i="10"/>
  <c r="H846" i="10"/>
  <c r="J845" i="10"/>
  <c r="H845" i="10"/>
  <c r="J844" i="10"/>
  <c r="H844" i="10"/>
  <c r="J843" i="10"/>
  <c r="H843" i="10"/>
  <c r="J842" i="10"/>
  <c r="H842" i="10"/>
  <c r="J841" i="10"/>
  <c r="H841" i="10"/>
  <c r="J840" i="10"/>
  <c r="H840" i="10"/>
  <c r="J839" i="10"/>
  <c r="H839" i="10"/>
  <c r="J838" i="10"/>
  <c r="H838" i="10"/>
  <c r="J837" i="10"/>
  <c r="H837" i="10"/>
  <c r="H836" i="10"/>
  <c r="J835" i="10"/>
  <c r="H835" i="10"/>
  <c r="J834" i="10"/>
  <c r="H834" i="10"/>
  <c r="J833" i="10"/>
  <c r="H833" i="10"/>
  <c r="J832" i="10"/>
  <c r="H832" i="10"/>
  <c r="J831" i="10"/>
  <c r="H831" i="10"/>
  <c r="J830" i="10"/>
  <c r="H830" i="10"/>
  <c r="J829" i="10"/>
  <c r="H829" i="10"/>
  <c r="J828" i="10"/>
  <c r="H828" i="10"/>
  <c r="J827" i="10"/>
  <c r="H827" i="10"/>
  <c r="J826" i="10"/>
  <c r="H826" i="10"/>
  <c r="J825" i="10"/>
  <c r="H825" i="10"/>
  <c r="J824" i="10"/>
  <c r="H824" i="10"/>
  <c r="J823" i="10"/>
  <c r="H823" i="10"/>
  <c r="J822" i="10"/>
  <c r="H822" i="10"/>
  <c r="J821" i="10"/>
  <c r="H821" i="10"/>
  <c r="J820" i="10"/>
  <c r="H820" i="10"/>
  <c r="J819" i="10"/>
  <c r="H819" i="10"/>
  <c r="J818" i="10"/>
  <c r="H818" i="10"/>
  <c r="J817" i="10"/>
  <c r="H817" i="10"/>
  <c r="J816" i="10"/>
  <c r="H816" i="10"/>
  <c r="J815" i="10"/>
  <c r="H815" i="10"/>
  <c r="J814" i="10"/>
  <c r="H814" i="10"/>
  <c r="J813" i="10"/>
  <c r="H813" i="10"/>
  <c r="J812" i="10"/>
  <c r="H812" i="10"/>
  <c r="J811" i="10"/>
  <c r="H811" i="10"/>
  <c r="J810" i="10"/>
  <c r="H810" i="10"/>
  <c r="J809" i="10"/>
  <c r="H809" i="10"/>
  <c r="J808" i="10"/>
  <c r="H808" i="10"/>
  <c r="J807" i="10"/>
  <c r="H807" i="10"/>
  <c r="H806" i="10"/>
  <c r="J805" i="10"/>
  <c r="H805" i="10"/>
  <c r="J804" i="10"/>
  <c r="H804" i="10"/>
  <c r="J803" i="10"/>
  <c r="H803" i="10"/>
  <c r="J802" i="10"/>
  <c r="H802" i="10"/>
  <c r="J801" i="10"/>
  <c r="H801" i="10"/>
  <c r="J800" i="10"/>
  <c r="H800" i="10"/>
  <c r="J799" i="10"/>
  <c r="H799" i="10"/>
  <c r="J798" i="10"/>
  <c r="H798" i="10"/>
  <c r="J797" i="10"/>
  <c r="H797" i="10"/>
  <c r="J796" i="10"/>
  <c r="H796" i="10"/>
  <c r="J795" i="10"/>
  <c r="H795" i="10"/>
  <c r="J794" i="10"/>
  <c r="H794" i="10"/>
  <c r="J793" i="10"/>
  <c r="H793" i="10"/>
  <c r="J792" i="10"/>
  <c r="H792" i="10"/>
  <c r="J791" i="10"/>
  <c r="H791" i="10"/>
  <c r="J790" i="10"/>
  <c r="H790" i="10"/>
  <c r="J789" i="10"/>
  <c r="H789" i="10"/>
  <c r="J788" i="10"/>
  <c r="H788" i="10"/>
  <c r="J787" i="10"/>
  <c r="H787" i="10"/>
  <c r="J786" i="10"/>
  <c r="H786" i="10"/>
  <c r="J785" i="10"/>
  <c r="H785" i="10"/>
  <c r="J784" i="10"/>
  <c r="H784" i="10"/>
  <c r="J783" i="10"/>
  <c r="H783" i="10"/>
  <c r="J782" i="10"/>
  <c r="H782" i="10"/>
  <c r="J781" i="10"/>
  <c r="H781" i="10"/>
  <c r="J780" i="10"/>
  <c r="H780" i="10"/>
  <c r="J779" i="10"/>
  <c r="H779" i="10"/>
  <c r="J778" i="10"/>
  <c r="H778" i="10"/>
  <c r="J777" i="10"/>
  <c r="H777" i="10"/>
  <c r="H776" i="10"/>
  <c r="J775" i="10"/>
  <c r="H775" i="10"/>
  <c r="J774" i="10"/>
  <c r="H774" i="10"/>
  <c r="J773" i="10"/>
  <c r="H773" i="10"/>
  <c r="J772" i="10"/>
  <c r="H772" i="10"/>
  <c r="J771" i="10"/>
  <c r="H771" i="10"/>
  <c r="J770" i="10"/>
  <c r="H770" i="10"/>
  <c r="J769" i="10"/>
  <c r="H769" i="10"/>
  <c r="J768" i="10"/>
  <c r="H768" i="10"/>
  <c r="J767" i="10"/>
  <c r="H767" i="10"/>
  <c r="J766" i="10"/>
  <c r="H766" i="10"/>
  <c r="J765" i="10"/>
  <c r="H765" i="10"/>
  <c r="J764" i="10"/>
  <c r="H764" i="10"/>
  <c r="J763" i="10"/>
  <c r="H763" i="10"/>
  <c r="J762" i="10"/>
  <c r="H762" i="10"/>
  <c r="J761" i="10"/>
  <c r="H761" i="10"/>
  <c r="J760" i="10"/>
  <c r="H760" i="10"/>
  <c r="J759" i="10"/>
  <c r="H759" i="10"/>
  <c r="J758" i="10"/>
  <c r="H758" i="10"/>
  <c r="J757" i="10"/>
  <c r="H757" i="10"/>
  <c r="J756" i="10"/>
  <c r="H756" i="10"/>
  <c r="J755" i="10"/>
  <c r="H755" i="10"/>
  <c r="J754" i="10"/>
  <c r="H754" i="10"/>
  <c r="J753" i="10"/>
  <c r="H753" i="10"/>
  <c r="J752" i="10"/>
  <c r="H752" i="10"/>
  <c r="J751" i="10"/>
  <c r="H751" i="10"/>
  <c r="J750" i="10"/>
  <c r="H750" i="10"/>
  <c r="J749" i="10"/>
  <c r="H749" i="10"/>
  <c r="J748" i="10"/>
  <c r="H748" i="10"/>
  <c r="J747" i="10"/>
  <c r="H747" i="10"/>
  <c r="H746" i="10"/>
  <c r="J745" i="10"/>
  <c r="H745" i="10"/>
  <c r="J744" i="10"/>
  <c r="H744" i="10"/>
  <c r="J743" i="10"/>
  <c r="H743" i="10"/>
  <c r="J742" i="10"/>
  <c r="H742" i="10"/>
  <c r="J741" i="10"/>
  <c r="H741" i="10"/>
  <c r="J740" i="10"/>
  <c r="H740" i="10"/>
  <c r="J739" i="10"/>
  <c r="H739" i="10"/>
  <c r="J738" i="10"/>
  <c r="H738" i="10"/>
  <c r="J737" i="10"/>
  <c r="H737" i="10"/>
  <c r="J736" i="10"/>
  <c r="H736" i="10"/>
  <c r="J735" i="10"/>
  <c r="H735" i="10"/>
  <c r="J734" i="10"/>
  <c r="H734" i="10"/>
  <c r="J733" i="10"/>
  <c r="H733" i="10"/>
  <c r="J732" i="10"/>
  <c r="H732" i="10"/>
  <c r="J731" i="10"/>
  <c r="H731" i="10"/>
  <c r="J730" i="10"/>
  <c r="H730" i="10"/>
  <c r="J729" i="10"/>
  <c r="H729" i="10"/>
  <c r="J728" i="10"/>
  <c r="H728" i="10"/>
  <c r="J727" i="10"/>
  <c r="H727" i="10"/>
  <c r="J726" i="10"/>
  <c r="H726" i="10"/>
  <c r="J725" i="10"/>
  <c r="H725" i="10"/>
  <c r="J724" i="10"/>
  <c r="H724" i="10"/>
  <c r="J723" i="10"/>
  <c r="H723" i="10"/>
  <c r="J722" i="10"/>
  <c r="H722" i="10"/>
  <c r="J721" i="10"/>
  <c r="H721" i="10"/>
  <c r="J720" i="10"/>
  <c r="H720" i="10"/>
  <c r="J719" i="10"/>
  <c r="H719" i="10"/>
  <c r="J718" i="10"/>
  <c r="H718" i="10"/>
  <c r="J717" i="10"/>
  <c r="H717" i="10"/>
  <c r="H716" i="10"/>
  <c r="J715" i="10"/>
  <c r="H715" i="10"/>
  <c r="J714" i="10"/>
  <c r="H714" i="10"/>
  <c r="J713" i="10"/>
  <c r="H713" i="10"/>
  <c r="J712" i="10"/>
  <c r="H712" i="10"/>
  <c r="J711" i="10"/>
  <c r="H711" i="10"/>
  <c r="J710" i="10"/>
  <c r="H710" i="10"/>
  <c r="J709" i="10"/>
  <c r="H709" i="10"/>
  <c r="J708" i="10"/>
  <c r="H708" i="10"/>
  <c r="J707" i="10"/>
  <c r="H707" i="10"/>
  <c r="J706" i="10"/>
  <c r="H706" i="10"/>
  <c r="J705" i="10"/>
  <c r="H705" i="10"/>
  <c r="J704" i="10"/>
  <c r="H704" i="10"/>
  <c r="J703" i="10"/>
  <c r="H703" i="10"/>
  <c r="J702" i="10"/>
  <c r="H702" i="10"/>
  <c r="J701" i="10"/>
  <c r="H701" i="10"/>
  <c r="J700" i="10"/>
  <c r="H700" i="10"/>
  <c r="J699" i="10"/>
  <c r="H699" i="10"/>
  <c r="J698" i="10"/>
  <c r="H698" i="10"/>
  <c r="J697" i="10"/>
  <c r="H697" i="10"/>
  <c r="J696" i="10"/>
  <c r="H696" i="10"/>
  <c r="J695" i="10"/>
  <c r="H695" i="10"/>
  <c r="J694" i="10"/>
  <c r="H694" i="10"/>
  <c r="J693" i="10"/>
  <c r="H693" i="10"/>
  <c r="J692" i="10"/>
  <c r="H692" i="10"/>
  <c r="J691" i="10"/>
  <c r="H691" i="10"/>
  <c r="J690" i="10"/>
  <c r="H690" i="10"/>
  <c r="J689" i="10"/>
  <c r="H689" i="10"/>
  <c r="J688" i="10"/>
  <c r="H688" i="10"/>
  <c r="J687" i="10"/>
  <c r="H687" i="10"/>
  <c r="H686" i="10"/>
  <c r="J613" i="10"/>
  <c r="H613" i="10"/>
  <c r="J612" i="10"/>
  <c r="H612" i="10"/>
  <c r="J611" i="10"/>
  <c r="H611" i="10"/>
  <c r="J610" i="10"/>
  <c r="H610" i="10"/>
  <c r="J609" i="10"/>
  <c r="H609" i="10"/>
  <c r="J608" i="10"/>
  <c r="H608" i="10"/>
  <c r="J607" i="10"/>
  <c r="H607" i="10"/>
  <c r="J606" i="10"/>
  <c r="H606" i="10"/>
  <c r="J605" i="10"/>
  <c r="H605" i="10"/>
  <c r="J604" i="10"/>
  <c r="H604" i="10"/>
  <c r="J603" i="10"/>
  <c r="H603" i="10"/>
  <c r="J602" i="10"/>
  <c r="H602" i="10"/>
  <c r="J601" i="10"/>
  <c r="H601" i="10"/>
  <c r="J600" i="10"/>
  <c r="H600" i="10"/>
  <c r="J599" i="10"/>
  <c r="H599" i="10"/>
  <c r="J598" i="10"/>
  <c r="H598" i="10"/>
  <c r="J597" i="10"/>
  <c r="H597" i="10"/>
  <c r="J596" i="10"/>
  <c r="H596" i="10"/>
  <c r="J595" i="10"/>
  <c r="H595" i="10"/>
  <c r="J594" i="10"/>
  <c r="H594" i="10"/>
  <c r="J593" i="10"/>
  <c r="H593" i="10"/>
  <c r="J592" i="10"/>
  <c r="H592" i="10"/>
  <c r="J591" i="10"/>
  <c r="H591" i="10"/>
  <c r="J590" i="10"/>
  <c r="H590" i="10"/>
  <c r="J589" i="10"/>
  <c r="H589" i="10"/>
  <c r="J588" i="10"/>
  <c r="H588" i="10"/>
  <c r="J587" i="10"/>
  <c r="H587" i="10"/>
  <c r="J586" i="10"/>
  <c r="H586" i="10"/>
  <c r="J585" i="10"/>
  <c r="H585" i="10"/>
  <c r="H584" i="10"/>
  <c r="J583" i="10"/>
  <c r="H583" i="10"/>
  <c r="J582" i="10"/>
  <c r="H582" i="10"/>
  <c r="J581" i="10"/>
  <c r="H581" i="10"/>
  <c r="J580" i="10"/>
  <c r="H580" i="10"/>
  <c r="J579" i="10"/>
  <c r="H579" i="10"/>
  <c r="J578" i="10"/>
  <c r="H578" i="10"/>
  <c r="J577" i="10"/>
  <c r="H577" i="10"/>
  <c r="J576" i="10"/>
  <c r="H576" i="10"/>
  <c r="J575" i="10"/>
  <c r="H575" i="10"/>
  <c r="J574" i="10"/>
  <c r="H574" i="10"/>
  <c r="J573" i="10"/>
  <c r="H573" i="10"/>
  <c r="J572" i="10"/>
  <c r="H572" i="10"/>
  <c r="J571" i="10"/>
  <c r="H571" i="10"/>
  <c r="J570" i="10"/>
  <c r="H570" i="10"/>
  <c r="J569" i="10"/>
  <c r="H569" i="10"/>
  <c r="J568" i="10"/>
  <c r="H568" i="10"/>
  <c r="J567" i="10"/>
  <c r="H567" i="10"/>
  <c r="J566" i="10"/>
  <c r="H566" i="10"/>
  <c r="J565" i="10"/>
  <c r="H565" i="10"/>
  <c r="J564" i="10"/>
  <c r="H564" i="10"/>
  <c r="J563" i="10"/>
  <c r="H563" i="10"/>
  <c r="J562" i="10"/>
  <c r="H562" i="10"/>
  <c r="J561" i="10"/>
  <c r="H561" i="10"/>
  <c r="J560" i="10"/>
  <c r="H560" i="10"/>
  <c r="J559" i="10"/>
  <c r="H559" i="10"/>
  <c r="J558" i="10"/>
  <c r="H558" i="10"/>
  <c r="J557" i="10"/>
  <c r="H557" i="10"/>
  <c r="J556" i="10"/>
  <c r="H556" i="10"/>
  <c r="J555" i="10"/>
  <c r="H555" i="10"/>
  <c r="H554" i="10"/>
  <c r="J553" i="10"/>
  <c r="H553" i="10"/>
  <c r="J552" i="10"/>
  <c r="H552" i="10"/>
  <c r="J551" i="10"/>
  <c r="H551" i="10"/>
  <c r="J550" i="10"/>
  <c r="H550" i="10"/>
  <c r="J549" i="10"/>
  <c r="H549" i="10"/>
  <c r="J548" i="10"/>
  <c r="H548" i="10"/>
  <c r="J547" i="10"/>
  <c r="H547" i="10"/>
  <c r="J546" i="10"/>
  <c r="H546" i="10"/>
  <c r="J545" i="10"/>
  <c r="H545" i="10"/>
  <c r="J544" i="10"/>
  <c r="H544" i="10"/>
  <c r="J543" i="10"/>
  <c r="H543" i="10"/>
  <c r="J542" i="10"/>
  <c r="H542" i="10"/>
  <c r="J541" i="10"/>
  <c r="H541" i="10"/>
  <c r="J540" i="10"/>
  <c r="H540" i="10"/>
  <c r="J539" i="10"/>
  <c r="H539" i="10"/>
  <c r="J538" i="10"/>
  <c r="H538" i="10"/>
  <c r="J537" i="10"/>
  <c r="H537" i="10"/>
  <c r="J536" i="10"/>
  <c r="H536" i="10"/>
  <c r="J535" i="10"/>
  <c r="H535" i="10"/>
  <c r="J534" i="10"/>
  <c r="H534" i="10"/>
  <c r="J533" i="10"/>
  <c r="H533" i="10"/>
  <c r="J532" i="10"/>
  <c r="H532" i="10"/>
  <c r="J531" i="10"/>
  <c r="H531" i="10"/>
  <c r="J530" i="10"/>
  <c r="H530" i="10"/>
  <c r="J529" i="10"/>
  <c r="H529" i="10"/>
  <c r="J528" i="10"/>
  <c r="H528" i="10"/>
  <c r="J527" i="10"/>
  <c r="H527" i="10"/>
  <c r="J526" i="10"/>
  <c r="H526" i="10"/>
  <c r="J525" i="10"/>
  <c r="H525" i="10"/>
  <c r="H524" i="10"/>
  <c r="J523" i="10"/>
  <c r="H523" i="10"/>
  <c r="J522" i="10"/>
  <c r="H522" i="10"/>
  <c r="J521" i="10"/>
  <c r="H521" i="10"/>
  <c r="J520" i="10"/>
  <c r="H520" i="10"/>
  <c r="J519" i="10"/>
  <c r="H519" i="10"/>
  <c r="J518" i="10"/>
  <c r="H518" i="10"/>
  <c r="J517" i="10"/>
  <c r="H517" i="10"/>
  <c r="J516" i="10"/>
  <c r="H516" i="10"/>
  <c r="J515" i="10"/>
  <c r="H515" i="10"/>
  <c r="J514" i="10"/>
  <c r="H514" i="10"/>
  <c r="J513" i="10"/>
  <c r="H513" i="10"/>
  <c r="J512" i="10"/>
  <c r="H512" i="10"/>
  <c r="J511" i="10"/>
  <c r="H511" i="10"/>
  <c r="J510" i="10"/>
  <c r="H510" i="10"/>
  <c r="J509" i="10"/>
  <c r="H509" i="10"/>
  <c r="J508" i="10"/>
  <c r="H508" i="10"/>
  <c r="J507" i="10"/>
  <c r="H507" i="10"/>
  <c r="J506" i="10"/>
  <c r="H506" i="10"/>
  <c r="J505" i="10"/>
  <c r="H505" i="10"/>
  <c r="J504" i="10"/>
  <c r="H504" i="10"/>
  <c r="J503" i="10"/>
  <c r="H503" i="10"/>
  <c r="J502" i="10"/>
  <c r="H502" i="10"/>
  <c r="J501" i="10"/>
  <c r="H501" i="10"/>
  <c r="J500" i="10"/>
  <c r="H500" i="10"/>
  <c r="J499" i="10"/>
  <c r="H499" i="10"/>
  <c r="J498" i="10"/>
  <c r="H498" i="10"/>
  <c r="J497" i="10"/>
  <c r="H497" i="10"/>
  <c r="J496" i="10"/>
  <c r="H496" i="10"/>
  <c r="J495" i="10"/>
  <c r="H495" i="10"/>
  <c r="H494" i="10"/>
  <c r="J373" i="10"/>
  <c r="H373" i="10"/>
  <c r="J372" i="10"/>
  <c r="H372" i="10"/>
  <c r="J371" i="10"/>
  <c r="H371" i="10"/>
  <c r="J370" i="10"/>
  <c r="H370" i="10"/>
  <c r="J369" i="10"/>
  <c r="H369" i="10"/>
  <c r="J368" i="10"/>
  <c r="H368" i="10"/>
  <c r="J367" i="10"/>
  <c r="H367" i="10"/>
  <c r="J366" i="10"/>
  <c r="H366" i="10"/>
  <c r="J365" i="10"/>
  <c r="H365" i="10"/>
  <c r="J364" i="10"/>
  <c r="H364" i="10"/>
  <c r="J363" i="10"/>
  <c r="H363" i="10"/>
  <c r="J362" i="10"/>
  <c r="H362" i="10"/>
  <c r="J361" i="10"/>
  <c r="H361" i="10"/>
  <c r="J360" i="10"/>
  <c r="H360" i="10"/>
  <c r="J359" i="10"/>
  <c r="H359" i="10"/>
  <c r="J358" i="10"/>
  <c r="H358" i="10"/>
  <c r="J357" i="10"/>
  <c r="H357" i="10"/>
  <c r="J356" i="10"/>
  <c r="H356" i="10"/>
  <c r="J355" i="10"/>
  <c r="H355" i="10"/>
  <c r="J354" i="10"/>
  <c r="H354" i="10"/>
  <c r="J353" i="10"/>
  <c r="H353" i="10"/>
  <c r="J352" i="10"/>
  <c r="H352" i="10"/>
  <c r="J351" i="10"/>
  <c r="H351" i="10"/>
  <c r="J350" i="10"/>
  <c r="H350" i="10"/>
  <c r="J349" i="10"/>
  <c r="H349" i="10"/>
  <c r="J348" i="10"/>
  <c r="H348" i="10"/>
  <c r="J347" i="10"/>
  <c r="H347" i="10"/>
  <c r="J346" i="10"/>
  <c r="H346" i="10"/>
  <c r="J345" i="10"/>
  <c r="H345" i="10"/>
  <c r="H344" i="10"/>
  <c r="J343" i="10"/>
  <c r="H343" i="10"/>
  <c r="J342" i="10"/>
  <c r="H342" i="10"/>
  <c r="J341" i="10"/>
  <c r="H341" i="10"/>
  <c r="J340" i="10"/>
  <c r="H340" i="10"/>
  <c r="J339" i="10"/>
  <c r="H339" i="10"/>
  <c r="J338" i="10"/>
  <c r="H338" i="10"/>
  <c r="J337" i="10"/>
  <c r="H337" i="10"/>
  <c r="J336" i="10"/>
  <c r="H336" i="10"/>
  <c r="J335" i="10"/>
  <c r="H335" i="10"/>
  <c r="J334" i="10"/>
  <c r="H334" i="10"/>
  <c r="J333" i="10"/>
  <c r="H333" i="10"/>
  <c r="J332" i="10"/>
  <c r="H332" i="10"/>
  <c r="J331" i="10"/>
  <c r="H331" i="10"/>
  <c r="J330" i="10"/>
  <c r="H330" i="10"/>
  <c r="J329" i="10"/>
  <c r="H329" i="10"/>
  <c r="J328" i="10"/>
  <c r="H328" i="10"/>
  <c r="J327" i="10"/>
  <c r="H327" i="10"/>
  <c r="J326" i="10"/>
  <c r="H326" i="10"/>
  <c r="J325" i="10"/>
  <c r="H325" i="10"/>
  <c r="J324" i="10"/>
  <c r="H324" i="10"/>
  <c r="J323" i="10"/>
  <c r="H323" i="10"/>
  <c r="J322" i="10"/>
  <c r="H322" i="10"/>
  <c r="J321" i="10"/>
  <c r="H321" i="10"/>
  <c r="J320" i="10"/>
  <c r="H320" i="10"/>
  <c r="J319" i="10"/>
  <c r="H319" i="10"/>
  <c r="J318" i="10"/>
  <c r="H318" i="10"/>
  <c r="J317" i="10"/>
  <c r="H317" i="10"/>
  <c r="J316" i="10"/>
  <c r="H316" i="10"/>
  <c r="J315" i="10"/>
  <c r="H315" i="10"/>
  <c r="H314" i="10"/>
  <c r="J313" i="10"/>
  <c r="H313" i="10"/>
  <c r="J312" i="10"/>
  <c r="H312" i="10"/>
  <c r="J311" i="10"/>
  <c r="H311" i="10"/>
  <c r="J310" i="10"/>
  <c r="H310" i="10"/>
  <c r="J309" i="10"/>
  <c r="H309" i="10"/>
  <c r="J308" i="10"/>
  <c r="H308" i="10"/>
  <c r="J307" i="10"/>
  <c r="H307" i="10"/>
  <c r="J306" i="10"/>
  <c r="H306" i="10"/>
  <c r="J305" i="10"/>
  <c r="H305" i="10"/>
  <c r="J304" i="10"/>
  <c r="H304" i="10"/>
  <c r="J303" i="10"/>
  <c r="H303" i="10"/>
  <c r="J302" i="10"/>
  <c r="H302" i="10"/>
  <c r="J301" i="10"/>
  <c r="H301" i="10"/>
  <c r="J300" i="10"/>
  <c r="H300" i="10"/>
  <c r="J299" i="10"/>
  <c r="H299" i="10"/>
  <c r="J298" i="10"/>
  <c r="H298" i="10"/>
  <c r="J297" i="10"/>
  <c r="H297" i="10"/>
  <c r="J296" i="10"/>
  <c r="H296" i="10"/>
  <c r="J295" i="10"/>
  <c r="H295" i="10"/>
  <c r="J294" i="10"/>
  <c r="H294" i="10"/>
  <c r="J293" i="10"/>
  <c r="H293" i="10"/>
  <c r="J292" i="10"/>
  <c r="H292" i="10"/>
  <c r="J291" i="10"/>
  <c r="H291" i="10"/>
  <c r="J290" i="10"/>
  <c r="H290" i="10"/>
  <c r="J289" i="10"/>
  <c r="H289" i="10"/>
  <c r="J288" i="10"/>
  <c r="H288" i="10"/>
  <c r="J287" i="10"/>
  <c r="H287" i="10"/>
  <c r="J286" i="10"/>
  <c r="H286" i="10"/>
  <c r="J285" i="10"/>
  <c r="H285" i="10"/>
  <c r="H284" i="10"/>
  <c r="H257" i="10"/>
  <c r="J257" i="10"/>
  <c r="H258" i="10"/>
  <c r="J258" i="10"/>
  <c r="H259" i="10"/>
  <c r="J259" i="10"/>
  <c r="H260" i="10"/>
  <c r="J260" i="10"/>
  <c r="H261" i="10"/>
  <c r="J261" i="10"/>
  <c r="H262" i="10"/>
  <c r="J262" i="10"/>
  <c r="H263" i="10"/>
  <c r="J263" i="10"/>
  <c r="H264" i="10"/>
  <c r="J264" i="10"/>
  <c r="H265" i="10"/>
  <c r="J265" i="10"/>
  <c r="H266" i="10"/>
  <c r="J266" i="10"/>
  <c r="H267" i="10"/>
  <c r="J267" i="10"/>
  <c r="H268" i="10"/>
  <c r="J268" i="10"/>
  <c r="H269" i="10"/>
  <c r="J269" i="10"/>
  <c r="H270" i="10"/>
  <c r="J270" i="10"/>
  <c r="H271" i="10"/>
  <c r="J271" i="10"/>
  <c r="H272" i="10"/>
  <c r="J272" i="10"/>
  <c r="H273" i="10"/>
  <c r="J273" i="10"/>
  <c r="H274" i="10"/>
  <c r="J274" i="10"/>
  <c r="H275" i="10"/>
  <c r="J275" i="10"/>
  <c r="H276" i="10"/>
  <c r="J276" i="10"/>
  <c r="H277" i="10"/>
  <c r="J277" i="10"/>
  <c r="H278" i="10"/>
  <c r="J278" i="10"/>
  <c r="H279" i="10"/>
  <c r="J279" i="10"/>
  <c r="H280" i="10"/>
  <c r="J280" i="10"/>
  <c r="H281" i="10"/>
  <c r="J281" i="10"/>
  <c r="H282" i="10"/>
  <c r="J282" i="10"/>
  <c r="H283" i="10"/>
  <c r="J283" i="10"/>
  <c r="J256" i="10"/>
  <c r="H256" i="10"/>
  <c r="J255" i="10"/>
  <c r="H255" i="10"/>
  <c r="H254" i="10"/>
  <c r="I2" i="11" l="1"/>
  <c r="I14" i="11"/>
  <c r="I10" i="11"/>
  <c r="I6" i="11"/>
  <c r="I17" i="11"/>
  <c r="I13" i="11"/>
  <c r="I9" i="11"/>
  <c r="I5" i="11"/>
  <c r="I16" i="11"/>
  <c r="I12" i="11"/>
  <c r="I8" i="11"/>
  <c r="I4" i="11"/>
  <c r="I15" i="11"/>
  <c r="I11" i="11"/>
  <c r="I7" i="11"/>
  <c r="J685" i="10"/>
  <c r="H685" i="10"/>
  <c r="J684" i="10"/>
  <c r="H684" i="10"/>
  <c r="J683" i="10"/>
  <c r="H683" i="10"/>
  <c r="J682" i="10"/>
  <c r="H682" i="10"/>
  <c r="J681" i="10"/>
  <c r="H681" i="10"/>
  <c r="J680" i="10"/>
  <c r="H680" i="10"/>
  <c r="J679" i="10"/>
  <c r="H679" i="10"/>
  <c r="J678" i="10"/>
  <c r="H678" i="10"/>
  <c r="J677" i="10"/>
  <c r="H677" i="10"/>
  <c r="J676" i="10"/>
  <c r="H676" i="10"/>
  <c r="J675" i="10"/>
  <c r="H675" i="10"/>
  <c r="J674" i="10"/>
  <c r="H674" i="10"/>
  <c r="J673" i="10"/>
  <c r="H673" i="10"/>
  <c r="J672" i="10"/>
  <c r="H672" i="10"/>
  <c r="J671" i="10"/>
  <c r="H671" i="10"/>
  <c r="J670" i="10"/>
  <c r="H670" i="10"/>
  <c r="J669" i="10"/>
  <c r="H669" i="10"/>
  <c r="H668" i="10"/>
  <c r="J649" i="10"/>
  <c r="H649" i="10"/>
  <c r="J648" i="10"/>
  <c r="H648" i="10"/>
  <c r="J647" i="10"/>
  <c r="H647" i="10"/>
  <c r="J646" i="10"/>
  <c r="H646" i="10"/>
  <c r="J645" i="10"/>
  <c r="H645" i="10"/>
  <c r="J644" i="10"/>
  <c r="H644" i="10"/>
  <c r="J643" i="10"/>
  <c r="H643" i="10"/>
  <c r="J642" i="10"/>
  <c r="H642" i="10"/>
  <c r="J641" i="10"/>
  <c r="H641" i="10"/>
  <c r="J640" i="10"/>
  <c r="H640" i="10"/>
  <c r="J639" i="10"/>
  <c r="H639" i="10"/>
  <c r="J638" i="10"/>
  <c r="H638" i="10"/>
  <c r="J637" i="10"/>
  <c r="H637" i="10"/>
  <c r="J636" i="10"/>
  <c r="H636" i="10"/>
  <c r="J635" i="10"/>
  <c r="H635" i="10"/>
  <c r="J634" i="10"/>
  <c r="H634" i="10"/>
  <c r="J633" i="10"/>
  <c r="H633" i="10"/>
  <c r="H632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H667" i="10"/>
  <c r="H666" i="10"/>
  <c r="H665" i="10"/>
  <c r="H664" i="10"/>
  <c r="H663" i="10"/>
  <c r="H662" i="10"/>
  <c r="H661" i="10"/>
  <c r="H660" i="10"/>
  <c r="H659" i="10"/>
  <c r="H658" i="10"/>
  <c r="H657" i="10"/>
  <c r="H656" i="10"/>
  <c r="H655" i="10"/>
  <c r="H654" i="10"/>
  <c r="H653" i="10"/>
  <c r="H652" i="10"/>
  <c r="H651" i="10"/>
  <c r="H650" i="10"/>
  <c r="H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J493" i="10" l="1"/>
  <c r="H493" i="10"/>
  <c r="J492" i="10"/>
  <c r="H492" i="10"/>
  <c r="J491" i="10"/>
  <c r="H491" i="10"/>
  <c r="J490" i="10"/>
  <c r="H490" i="10"/>
  <c r="J489" i="10"/>
  <c r="H489" i="10"/>
  <c r="J488" i="10"/>
  <c r="H488" i="10"/>
  <c r="J487" i="10"/>
  <c r="H487" i="10"/>
  <c r="J486" i="10"/>
  <c r="H486" i="10"/>
  <c r="J485" i="10"/>
  <c r="H485" i="10"/>
  <c r="J484" i="10"/>
  <c r="H484" i="10"/>
  <c r="J483" i="10"/>
  <c r="H483" i="10"/>
  <c r="J482" i="10"/>
  <c r="H482" i="10"/>
  <c r="J481" i="10"/>
  <c r="H481" i="10"/>
  <c r="J480" i="10"/>
  <c r="H480" i="10"/>
  <c r="J479" i="10"/>
  <c r="H479" i="10"/>
  <c r="J478" i="10"/>
  <c r="H478" i="10"/>
  <c r="J477" i="10"/>
  <c r="H477" i="10"/>
  <c r="J476" i="10"/>
  <c r="H476" i="10"/>
  <c r="J475" i="10"/>
  <c r="H475" i="10"/>
  <c r="J474" i="10"/>
  <c r="H474" i="10"/>
  <c r="J473" i="10"/>
  <c r="H473" i="10"/>
  <c r="J472" i="10"/>
  <c r="H472" i="10"/>
  <c r="J471" i="10"/>
  <c r="H471" i="10"/>
  <c r="J470" i="10"/>
  <c r="H470" i="10"/>
  <c r="J469" i="10"/>
  <c r="H469" i="10"/>
  <c r="J468" i="10"/>
  <c r="H468" i="10"/>
  <c r="J467" i="10"/>
  <c r="H467" i="10"/>
  <c r="J466" i="10"/>
  <c r="H466" i="10"/>
  <c r="J465" i="10"/>
  <c r="H465" i="10"/>
  <c r="H464" i="10"/>
  <c r="J463" i="10"/>
  <c r="H463" i="10"/>
  <c r="J462" i="10"/>
  <c r="H462" i="10"/>
  <c r="J461" i="10"/>
  <c r="H461" i="10"/>
  <c r="J460" i="10"/>
  <c r="H460" i="10"/>
  <c r="J459" i="10"/>
  <c r="H459" i="10"/>
  <c r="J458" i="10"/>
  <c r="H458" i="10"/>
  <c r="J457" i="10"/>
  <c r="H457" i="10"/>
  <c r="J456" i="10"/>
  <c r="H456" i="10"/>
  <c r="J455" i="10"/>
  <c r="H455" i="10"/>
  <c r="J454" i="10"/>
  <c r="H454" i="10"/>
  <c r="J453" i="10"/>
  <c r="H453" i="10"/>
  <c r="J452" i="10"/>
  <c r="H452" i="10"/>
  <c r="J451" i="10"/>
  <c r="H451" i="10"/>
  <c r="J450" i="10"/>
  <c r="H450" i="10"/>
  <c r="J449" i="10"/>
  <c r="H449" i="10"/>
  <c r="J448" i="10"/>
  <c r="H448" i="10"/>
  <c r="J447" i="10"/>
  <c r="H447" i="10"/>
  <c r="J446" i="10"/>
  <c r="H446" i="10"/>
  <c r="J445" i="10"/>
  <c r="H445" i="10"/>
  <c r="J444" i="10"/>
  <c r="H444" i="10"/>
  <c r="J443" i="10"/>
  <c r="H443" i="10"/>
  <c r="J442" i="10"/>
  <c r="H442" i="10"/>
  <c r="J441" i="10"/>
  <c r="H441" i="10"/>
  <c r="J440" i="10"/>
  <c r="H440" i="10"/>
  <c r="J439" i="10"/>
  <c r="H439" i="10"/>
  <c r="J438" i="10"/>
  <c r="H438" i="10"/>
  <c r="J437" i="10"/>
  <c r="H437" i="10"/>
  <c r="J436" i="10"/>
  <c r="H436" i="10"/>
  <c r="J435" i="10"/>
  <c r="H435" i="10"/>
  <c r="H434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H380" i="10"/>
  <c r="H379" i="10"/>
  <c r="H378" i="10"/>
  <c r="H377" i="10"/>
  <c r="J376" i="10"/>
  <c r="H376" i="10"/>
  <c r="J375" i="10"/>
  <c r="H375" i="10"/>
  <c r="H374" i="10"/>
  <c r="J233" i="10" l="1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J222" i="10"/>
  <c r="J223" i="10"/>
  <c r="J224" i="10"/>
  <c r="J225" i="10"/>
  <c r="J226" i="10"/>
  <c r="J227" i="10"/>
  <c r="J228" i="10"/>
  <c r="J229" i="10"/>
  <c r="J230" i="10"/>
  <c r="J231" i="10"/>
  <c r="J232" i="10"/>
  <c r="H216" i="10"/>
  <c r="H209" i="10"/>
  <c r="J209" i="10"/>
  <c r="J210" i="10"/>
  <c r="J211" i="10"/>
  <c r="J212" i="10"/>
  <c r="J213" i="10"/>
  <c r="J214" i="10"/>
  <c r="J215" i="10"/>
  <c r="J216" i="10"/>
  <c r="J217" i="10"/>
  <c r="J200" i="10"/>
  <c r="J201" i="10"/>
  <c r="J202" i="10"/>
  <c r="J203" i="10"/>
  <c r="H201" i="10"/>
  <c r="H200" i="10"/>
  <c r="J189" i="10"/>
  <c r="J190" i="10"/>
  <c r="J191" i="10"/>
  <c r="J192" i="10"/>
  <c r="J193" i="10"/>
  <c r="J194" i="10"/>
  <c r="J195" i="10"/>
  <c r="J196" i="10"/>
  <c r="J197" i="10"/>
  <c r="J198" i="10"/>
  <c r="J199" i="10"/>
  <c r="J204" i="10"/>
  <c r="J205" i="10"/>
  <c r="J206" i="10"/>
  <c r="J207" i="10"/>
  <c r="J208" i="10"/>
  <c r="J218" i="10"/>
  <c r="J219" i="10"/>
  <c r="J220" i="10"/>
  <c r="J183" i="10"/>
  <c r="J184" i="10"/>
  <c r="J185" i="10"/>
  <c r="J176" i="10"/>
  <c r="J177" i="10"/>
  <c r="J167" i="10"/>
  <c r="J168" i="10"/>
  <c r="H167" i="10"/>
  <c r="H168" i="10"/>
  <c r="H169" i="10"/>
  <c r="H176" i="10"/>
  <c r="H177" i="10"/>
  <c r="H178" i="10"/>
  <c r="H179" i="10"/>
  <c r="H180" i="10"/>
  <c r="H181" i="10"/>
  <c r="H182" i="10"/>
  <c r="H183" i="10"/>
  <c r="J159" i="10"/>
  <c r="J160" i="10"/>
  <c r="J161" i="10"/>
  <c r="J162" i="10"/>
  <c r="J163" i="10"/>
  <c r="J164" i="10"/>
  <c r="J165" i="10"/>
  <c r="J166" i="10"/>
  <c r="J169" i="10"/>
  <c r="J170" i="10"/>
  <c r="J171" i="10"/>
  <c r="J172" i="10"/>
  <c r="J173" i="10"/>
  <c r="J174" i="10"/>
  <c r="J175" i="10"/>
  <c r="J178" i="10"/>
  <c r="J179" i="10"/>
  <c r="J180" i="10"/>
  <c r="J181" i="10"/>
  <c r="J182" i="10"/>
  <c r="J186" i="10"/>
  <c r="J187" i="10"/>
  <c r="J156" i="10"/>
  <c r="J157" i="10"/>
  <c r="J158" i="10"/>
  <c r="J150" i="10"/>
  <c r="J151" i="10"/>
  <c r="H150" i="10"/>
  <c r="J143" i="10"/>
  <c r="J144" i="10"/>
  <c r="H143" i="10"/>
  <c r="J138" i="10"/>
  <c r="J134" i="10"/>
  <c r="J135" i="10"/>
  <c r="H134" i="10"/>
  <c r="H135" i="10"/>
  <c r="J136" i="10"/>
  <c r="J124" i="10"/>
  <c r="J125" i="10"/>
  <c r="J126" i="10"/>
  <c r="J127" i="10"/>
  <c r="J128" i="10"/>
  <c r="J129" i="10"/>
  <c r="J130" i="10"/>
  <c r="J131" i="10"/>
  <c r="J132" i="10"/>
  <c r="J133" i="10"/>
  <c r="J137" i="10"/>
  <c r="J139" i="10"/>
  <c r="J140" i="10"/>
  <c r="J141" i="10"/>
  <c r="J142" i="10"/>
  <c r="J145" i="10"/>
  <c r="J146" i="10"/>
  <c r="J147" i="10"/>
  <c r="J148" i="10"/>
  <c r="J149" i="10"/>
  <c r="J152" i="10"/>
  <c r="J153" i="10"/>
  <c r="J154" i="10"/>
  <c r="J123" i="10"/>
  <c r="H232" i="10" l="1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5" i="10"/>
  <c r="H214" i="10"/>
  <c r="H213" i="10"/>
  <c r="H212" i="10"/>
  <c r="H211" i="10"/>
  <c r="H210" i="10"/>
  <c r="H208" i="10"/>
  <c r="H207" i="10"/>
  <c r="H206" i="10"/>
  <c r="H205" i="10"/>
  <c r="H204" i="10"/>
  <c r="H203" i="10"/>
  <c r="H202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70" i="10"/>
  <c r="H171" i="10"/>
  <c r="H172" i="10"/>
  <c r="H173" i="10"/>
  <c r="H174" i="10"/>
  <c r="H175" i="10"/>
  <c r="H184" i="10"/>
  <c r="H185" i="10"/>
  <c r="H186" i="10"/>
  <c r="H187" i="10"/>
  <c r="H123" i="10"/>
  <c r="H124" i="10"/>
  <c r="H125" i="10"/>
  <c r="H126" i="10"/>
  <c r="H127" i="10"/>
  <c r="H128" i="10"/>
  <c r="H129" i="10"/>
  <c r="H130" i="10"/>
  <c r="H131" i="10"/>
  <c r="H132" i="10"/>
  <c r="H133" i="10"/>
  <c r="H136" i="10"/>
  <c r="H137" i="10"/>
  <c r="H138" i="10"/>
  <c r="H139" i="10"/>
  <c r="H140" i="10"/>
  <c r="H141" i="10"/>
  <c r="H142" i="10"/>
  <c r="H144" i="10"/>
  <c r="H145" i="10"/>
  <c r="H146" i="10"/>
  <c r="H147" i="10"/>
  <c r="H148" i="10"/>
  <c r="H149" i="10"/>
  <c r="H151" i="10"/>
  <c r="H152" i="10"/>
  <c r="H153" i="10"/>
  <c r="H154" i="10"/>
  <c r="H122" i="10"/>
  <c r="H26" i="9" l="1"/>
  <c r="H27" i="9"/>
  <c r="H28" i="9"/>
  <c r="H29" i="9"/>
  <c r="H30" i="9"/>
  <c r="H31" i="9"/>
  <c r="H32" i="9"/>
  <c r="H33" i="9"/>
  <c r="E26" i="9"/>
  <c r="E27" i="9"/>
  <c r="E28" i="9"/>
  <c r="E29" i="9"/>
  <c r="E30" i="9"/>
  <c r="E31" i="9"/>
  <c r="E32" i="9"/>
  <c r="E33" i="9"/>
  <c r="E25" i="9"/>
  <c r="E24" i="9"/>
  <c r="H25" i="9"/>
  <c r="H24" i="9"/>
  <c r="H23" i="9"/>
  <c r="H22" i="9"/>
  <c r="E23" i="9"/>
  <c r="E22" i="9"/>
  <c r="H21" i="9"/>
  <c r="E21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4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Q256" i="7" l="1"/>
  <c r="Q255" i="7"/>
  <c r="Q254" i="7"/>
  <c r="Q253" i="7"/>
  <c r="Q103" i="7"/>
  <c r="Q102" i="7"/>
  <c r="Q101" i="7"/>
  <c r="Q100" i="7"/>
  <c r="Q99" i="7"/>
  <c r="Q7" i="7"/>
  <c r="Q6" i="7"/>
  <c r="Q5" i="7"/>
  <c r="Q4" i="7"/>
  <c r="Q3" i="7"/>
  <c r="P256" i="7"/>
  <c r="P255" i="7"/>
  <c r="P254" i="7"/>
  <c r="P253" i="7"/>
  <c r="P103" i="7"/>
  <c r="P102" i="7"/>
  <c r="P101" i="7"/>
  <c r="P100" i="7"/>
  <c r="P99" i="7"/>
  <c r="P7" i="7"/>
  <c r="P6" i="7"/>
  <c r="P5" i="7"/>
  <c r="P4" i="7"/>
  <c r="P3" i="7"/>
  <c r="O160" i="7" l="1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159" i="7" l="1"/>
  <c r="R159" i="7"/>
  <c r="O159" i="7"/>
  <c r="U158" i="7"/>
  <c r="R158" i="7"/>
  <c r="O158" i="7"/>
  <c r="U157" i="7"/>
  <c r="R157" i="7"/>
  <c r="O157" i="7"/>
  <c r="U156" i="7"/>
  <c r="R156" i="7"/>
  <c r="O156" i="7"/>
  <c r="U155" i="7"/>
  <c r="R155" i="7"/>
  <c r="O155" i="7"/>
  <c r="U154" i="7"/>
  <c r="R154" i="7"/>
  <c r="O154" i="7"/>
  <c r="U153" i="7"/>
  <c r="R153" i="7"/>
  <c r="O153" i="7"/>
  <c r="U152" i="7"/>
  <c r="R152" i="7"/>
  <c r="O152" i="7"/>
  <c r="U151" i="7"/>
  <c r="R151" i="7"/>
  <c r="O151" i="7"/>
  <c r="U150" i="7"/>
  <c r="R150" i="7"/>
  <c r="O150" i="7"/>
  <c r="U149" i="7"/>
  <c r="R149" i="7"/>
  <c r="O149" i="7"/>
  <c r="U148" i="7"/>
  <c r="R148" i="7"/>
  <c r="O148" i="7"/>
  <c r="U147" i="7"/>
  <c r="R147" i="7"/>
  <c r="O147" i="7"/>
  <c r="U146" i="7"/>
  <c r="R146" i="7"/>
  <c r="O146" i="7"/>
  <c r="U145" i="7"/>
  <c r="R145" i="7"/>
  <c r="O145" i="7"/>
  <c r="U144" i="7"/>
  <c r="R144" i="7"/>
  <c r="O144" i="7"/>
  <c r="U143" i="7"/>
  <c r="R143" i="7"/>
  <c r="O143" i="7"/>
  <c r="U142" i="7"/>
  <c r="R142" i="7"/>
  <c r="O142" i="7"/>
  <c r="U141" i="7"/>
  <c r="R141" i="7"/>
  <c r="O141" i="7"/>
  <c r="U140" i="7"/>
  <c r="R140" i="7"/>
  <c r="O140" i="7"/>
  <c r="U139" i="7"/>
  <c r="R139" i="7"/>
  <c r="O139" i="7"/>
  <c r="U138" i="7"/>
  <c r="R138" i="7"/>
  <c r="O138" i="7"/>
  <c r="U137" i="7"/>
  <c r="R137" i="7"/>
  <c r="O137" i="7"/>
  <c r="U136" i="7"/>
  <c r="R136" i="7"/>
  <c r="O136" i="7"/>
  <c r="U135" i="7"/>
  <c r="R135" i="7"/>
  <c r="O135" i="7"/>
  <c r="U134" i="7"/>
  <c r="R134" i="7"/>
  <c r="O134" i="7"/>
  <c r="U133" i="7"/>
  <c r="R133" i="7"/>
  <c r="O133" i="7"/>
  <c r="U132" i="7"/>
  <c r="R132" i="7"/>
  <c r="O132" i="7"/>
  <c r="U131" i="7"/>
  <c r="R131" i="7"/>
  <c r="O131" i="7"/>
  <c r="U130" i="7"/>
  <c r="R130" i="7"/>
  <c r="O130" i="7"/>
  <c r="U129" i="7"/>
  <c r="R129" i="7"/>
  <c r="O129" i="7"/>
  <c r="U128" i="7"/>
  <c r="R128" i="7"/>
  <c r="O128" i="7"/>
  <c r="U127" i="7"/>
  <c r="R127" i="7"/>
  <c r="O127" i="7"/>
  <c r="U126" i="7"/>
  <c r="R126" i="7"/>
  <c r="O126" i="7"/>
  <c r="U125" i="7"/>
  <c r="R125" i="7"/>
  <c r="O125" i="7"/>
  <c r="U124" i="7"/>
  <c r="R124" i="7"/>
  <c r="O124" i="7"/>
  <c r="U123" i="7"/>
  <c r="R123" i="7"/>
  <c r="O123" i="7"/>
  <c r="U122" i="7"/>
  <c r="R122" i="7"/>
  <c r="O122" i="7"/>
  <c r="U121" i="7"/>
  <c r="R121" i="7"/>
  <c r="O121" i="7"/>
  <c r="U120" i="7"/>
  <c r="R120" i="7"/>
  <c r="O120" i="7"/>
  <c r="U119" i="7"/>
  <c r="R119" i="7"/>
  <c r="O119" i="7"/>
  <c r="U118" i="7"/>
  <c r="R118" i="7"/>
  <c r="O118" i="7"/>
  <c r="U117" i="7"/>
  <c r="R117" i="7"/>
  <c r="O117" i="7"/>
  <c r="U116" i="7"/>
  <c r="R116" i="7"/>
  <c r="O116" i="7"/>
  <c r="U115" i="7"/>
  <c r="R115" i="7"/>
  <c r="O115" i="7"/>
  <c r="U114" i="7"/>
  <c r="R114" i="7"/>
  <c r="O114" i="7"/>
  <c r="U113" i="7"/>
  <c r="R113" i="7"/>
  <c r="O113" i="7"/>
  <c r="U112" i="7"/>
  <c r="R112" i="7"/>
  <c r="O112" i="7"/>
  <c r="U111" i="7"/>
  <c r="R111" i="7"/>
  <c r="O111" i="7"/>
  <c r="U110" i="7"/>
  <c r="R110" i="7"/>
  <c r="O110" i="7"/>
  <c r="U109" i="7"/>
  <c r="R109" i="7"/>
  <c r="O109" i="7"/>
  <c r="U108" i="7"/>
  <c r="R108" i="7"/>
  <c r="O108" i="7"/>
  <c r="U107" i="7"/>
  <c r="R107" i="7"/>
  <c r="O107" i="7"/>
  <c r="U106" i="7"/>
  <c r="R106" i="7"/>
  <c r="O106" i="7"/>
  <c r="U105" i="7"/>
  <c r="R105" i="7"/>
  <c r="O105" i="7"/>
  <c r="U104" i="7"/>
  <c r="R104" i="7"/>
  <c r="O104" i="7"/>
  <c r="U103" i="7"/>
  <c r="R103" i="7"/>
  <c r="O103" i="7"/>
  <c r="U102" i="7"/>
  <c r="R102" i="7"/>
  <c r="O102" i="7"/>
  <c r="U101" i="7"/>
  <c r="R101" i="7"/>
  <c r="O101" i="7"/>
  <c r="U100" i="7"/>
  <c r="R100" i="7"/>
  <c r="O100" i="7"/>
  <c r="U99" i="7"/>
  <c r="R99" i="7"/>
  <c r="O99" i="7"/>
  <c r="U98" i="7"/>
  <c r="R98" i="7"/>
  <c r="O98" i="7"/>
  <c r="U97" i="7"/>
  <c r="R97" i="7"/>
  <c r="O97" i="7"/>
  <c r="U96" i="7"/>
  <c r="R96" i="7"/>
  <c r="O96" i="7"/>
  <c r="U95" i="7"/>
  <c r="R95" i="7"/>
  <c r="O95" i="7"/>
  <c r="U94" i="7"/>
  <c r="R94" i="7"/>
  <c r="O94" i="7"/>
  <c r="U93" i="7"/>
  <c r="R93" i="7"/>
  <c r="O93" i="7"/>
  <c r="U92" i="7"/>
  <c r="R92" i="7"/>
  <c r="O92" i="7"/>
  <c r="U91" i="7"/>
  <c r="R91" i="7"/>
  <c r="O91" i="7"/>
  <c r="U90" i="7"/>
  <c r="R90" i="7"/>
  <c r="O90" i="7"/>
  <c r="U89" i="7"/>
  <c r="R89" i="7"/>
  <c r="O89" i="7"/>
  <c r="U88" i="7"/>
  <c r="R88" i="7"/>
  <c r="O88" i="7"/>
  <c r="U87" i="7"/>
  <c r="R87" i="7"/>
  <c r="O87" i="7"/>
  <c r="U86" i="7"/>
  <c r="R86" i="7"/>
  <c r="O86" i="7"/>
  <c r="U85" i="7"/>
  <c r="R85" i="7"/>
  <c r="O85" i="7"/>
  <c r="U84" i="7"/>
  <c r="R84" i="7"/>
  <c r="O84" i="7"/>
  <c r="U83" i="7"/>
  <c r="R83" i="7"/>
  <c r="O83" i="7"/>
  <c r="U82" i="7"/>
  <c r="R82" i="7"/>
  <c r="O82" i="7"/>
  <c r="U81" i="7"/>
  <c r="R81" i="7"/>
  <c r="O81" i="7"/>
  <c r="U80" i="7"/>
  <c r="R80" i="7"/>
  <c r="O80" i="7"/>
  <c r="U79" i="7"/>
  <c r="R79" i="7"/>
  <c r="O79" i="7"/>
  <c r="U78" i="7"/>
  <c r="R78" i="7"/>
  <c r="O78" i="7"/>
  <c r="U77" i="7"/>
  <c r="R77" i="7"/>
  <c r="O77" i="7"/>
  <c r="U76" i="7"/>
  <c r="R76" i="7"/>
  <c r="O76" i="7"/>
  <c r="U75" i="7"/>
  <c r="R75" i="7"/>
  <c r="O75" i="7"/>
  <c r="U74" i="7"/>
  <c r="R74" i="7"/>
  <c r="O74" i="7"/>
  <c r="U73" i="7"/>
  <c r="R73" i="7"/>
  <c r="O73" i="7"/>
  <c r="U72" i="7"/>
  <c r="R72" i="7"/>
  <c r="O72" i="7"/>
  <c r="U71" i="7"/>
  <c r="R71" i="7"/>
  <c r="O71" i="7"/>
  <c r="U70" i="7"/>
  <c r="R70" i="7"/>
  <c r="O70" i="7"/>
  <c r="U69" i="7"/>
  <c r="R69" i="7"/>
  <c r="O69" i="7"/>
  <c r="U68" i="7"/>
  <c r="R68" i="7"/>
  <c r="O68" i="7"/>
  <c r="U67" i="7"/>
  <c r="R67" i="7"/>
  <c r="O67" i="7"/>
  <c r="U66" i="7"/>
  <c r="R66" i="7"/>
  <c r="O66" i="7"/>
  <c r="U65" i="7"/>
  <c r="R65" i="7"/>
  <c r="O65" i="7"/>
  <c r="U64" i="7"/>
  <c r="R64" i="7"/>
  <c r="O64" i="7"/>
  <c r="U63" i="7"/>
  <c r="R63" i="7"/>
  <c r="O63" i="7"/>
  <c r="U62" i="7"/>
  <c r="R62" i="7"/>
  <c r="O62" i="7"/>
  <c r="U61" i="7"/>
  <c r="R61" i="7"/>
  <c r="O61" i="7"/>
  <c r="U60" i="7"/>
  <c r="R60" i="7"/>
  <c r="O60" i="7"/>
  <c r="U59" i="7"/>
  <c r="R59" i="7"/>
  <c r="O59" i="7"/>
  <c r="U58" i="7"/>
  <c r="R58" i="7"/>
  <c r="O58" i="7"/>
  <c r="U57" i="7"/>
  <c r="R57" i="7"/>
  <c r="O57" i="7"/>
  <c r="U56" i="7"/>
  <c r="R56" i="7"/>
  <c r="O56" i="7"/>
  <c r="U55" i="7"/>
  <c r="R55" i="7"/>
  <c r="O55" i="7"/>
  <c r="U54" i="7"/>
  <c r="R54" i="7"/>
  <c r="O54" i="7"/>
  <c r="U53" i="7"/>
  <c r="R53" i="7"/>
  <c r="O53" i="7"/>
  <c r="U52" i="7"/>
  <c r="R52" i="7"/>
  <c r="O52" i="7"/>
  <c r="U51" i="7"/>
  <c r="R51" i="7"/>
  <c r="O51" i="7"/>
  <c r="U50" i="7"/>
  <c r="R50" i="7"/>
  <c r="O50" i="7"/>
  <c r="U49" i="7"/>
  <c r="R49" i="7"/>
  <c r="O49" i="7"/>
  <c r="U48" i="7"/>
  <c r="R48" i="7"/>
  <c r="O48" i="7"/>
  <c r="U47" i="7"/>
  <c r="R47" i="7"/>
  <c r="O47" i="7"/>
  <c r="U46" i="7"/>
  <c r="R46" i="7"/>
  <c r="O46" i="7"/>
  <c r="U45" i="7"/>
  <c r="R45" i="7"/>
  <c r="O45" i="7"/>
  <c r="U44" i="7"/>
  <c r="R44" i="7"/>
  <c r="O44" i="7"/>
  <c r="U43" i="7"/>
  <c r="R43" i="7"/>
  <c r="O43" i="7"/>
  <c r="U42" i="7"/>
  <c r="R42" i="7"/>
  <c r="O42" i="7"/>
  <c r="U41" i="7"/>
  <c r="R41" i="7"/>
  <c r="O41" i="7"/>
  <c r="U40" i="7"/>
  <c r="R40" i="7"/>
  <c r="O40" i="7"/>
  <c r="U39" i="7"/>
  <c r="R39" i="7"/>
  <c r="O39" i="7"/>
  <c r="U38" i="7"/>
  <c r="R38" i="7"/>
  <c r="O38" i="7"/>
  <c r="U37" i="7"/>
  <c r="R37" i="7"/>
  <c r="O37" i="7"/>
  <c r="U36" i="7"/>
  <c r="R36" i="7"/>
  <c r="O36" i="7"/>
  <c r="U35" i="7"/>
  <c r="R35" i="7"/>
  <c r="O35" i="7"/>
  <c r="U34" i="7"/>
  <c r="R34" i="7"/>
  <c r="O34" i="7"/>
  <c r="U33" i="7"/>
  <c r="R33" i="7"/>
  <c r="O33" i="7"/>
  <c r="U32" i="7"/>
  <c r="R32" i="7"/>
  <c r="O32" i="7"/>
  <c r="U31" i="7"/>
  <c r="R31" i="7"/>
  <c r="O31" i="7"/>
  <c r="U30" i="7"/>
  <c r="R30" i="7"/>
  <c r="O30" i="7"/>
  <c r="U29" i="7"/>
  <c r="R29" i="7"/>
  <c r="O29" i="7"/>
  <c r="U28" i="7"/>
  <c r="R28" i="7"/>
  <c r="O28" i="7"/>
  <c r="U27" i="7"/>
  <c r="R27" i="7"/>
  <c r="O27" i="7"/>
  <c r="U26" i="7"/>
  <c r="R26" i="7"/>
  <c r="O26" i="7"/>
  <c r="U25" i="7"/>
  <c r="R25" i="7"/>
  <c r="O25" i="7"/>
  <c r="U24" i="7"/>
  <c r="R24" i="7"/>
  <c r="O24" i="7"/>
  <c r="U23" i="7"/>
  <c r="R23" i="7"/>
  <c r="O23" i="7"/>
  <c r="U22" i="7"/>
  <c r="R22" i="7"/>
  <c r="O22" i="7"/>
  <c r="U21" i="7"/>
  <c r="R21" i="7"/>
  <c r="O21" i="7"/>
  <c r="U20" i="7"/>
  <c r="R20" i="7"/>
  <c r="O20" i="7"/>
  <c r="U19" i="7"/>
  <c r="R19" i="7"/>
  <c r="O19" i="7"/>
  <c r="U18" i="7"/>
  <c r="R18" i="7"/>
  <c r="O18" i="7"/>
  <c r="U17" i="7"/>
  <c r="R17" i="7"/>
  <c r="O17" i="7"/>
  <c r="U16" i="7"/>
  <c r="R16" i="7"/>
  <c r="O16" i="7"/>
  <c r="U15" i="7"/>
  <c r="R15" i="7"/>
  <c r="O15" i="7"/>
  <c r="U14" i="7"/>
  <c r="R14" i="7"/>
  <c r="O14" i="7"/>
  <c r="U13" i="7"/>
  <c r="R13" i="7"/>
  <c r="O13" i="7"/>
  <c r="U12" i="7"/>
  <c r="R12" i="7"/>
  <c r="O12" i="7"/>
  <c r="U11" i="7"/>
  <c r="R11" i="7"/>
  <c r="O11" i="7"/>
  <c r="U10" i="7"/>
  <c r="R10" i="7"/>
  <c r="O10" i="7"/>
  <c r="U9" i="7"/>
  <c r="R9" i="7"/>
  <c r="O9" i="7"/>
  <c r="U8" i="7"/>
  <c r="R8" i="7"/>
  <c r="O8" i="7"/>
  <c r="U7" i="7"/>
  <c r="R7" i="7"/>
  <c r="O7" i="7"/>
  <c r="U6" i="7"/>
  <c r="R6" i="7"/>
  <c r="O6" i="7"/>
  <c r="U5" i="7"/>
  <c r="R5" i="7"/>
  <c r="O5" i="7"/>
  <c r="U4" i="7"/>
  <c r="R4" i="7"/>
  <c r="O4" i="7"/>
  <c r="U3" i="7"/>
  <c r="R3" i="7"/>
  <c r="O3" i="7"/>
</calcChain>
</file>

<file path=xl/sharedStrings.xml><?xml version="1.0" encoding="utf-8"?>
<sst xmlns="http://schemas.openxmlformats.org/spreadsheetml/2006/main" count="10914" uniqueCount="448">
  <si>
    <t>Group</t>
  </si>
  <si>
    <t>.RPM</t>
  </si>
  <si>
    <t>Auto-OLP 套餐編號</t>
  </si>
  <si>
    <t>Bond PadOpening</t>
  </si>
  <si>
    <t>Wire Diameter</t>
  </si>
  <si>
    <t>Wire No</t>
  </si>
  <si>
    <t>Capillary</t>
  </si>
  <si>
    <t>PADThickness</t>
  </si>
  <si>
    <t>Wire Type</t>
  </si>
  <si>
    <t>M/C Type</t>
  </si>
  <si>
    <t>PKGGroup</t>
  </si>
  <si>
    <t>Die Attach</t>
  </si>
  <si>
    <t>Bond1 Type</t>
  </si>
  <si>
    <t>Cust</t>
  </si>
  <si>
    <t>FabSite</t>
  </si>
  <si>
    <t>WaferProcess</t>
  </si>
  <si>
    <t>Material Base</t>
  </si>
  <si>
    <t>Diepart</t>
  </si>
  <si>
    <t>BD#</t>
  </si>
  <si>
    <t>Wafer Coating</t>
  </si>
  <si>
    <t>Wafer Function</t>
  </si>
  <si>
    <t>Epoxy No</t>
  </si>
  <si>
    <t>Film No</t>
  </si>
  <si>
    <t>Bond Mode</t>
  </si>
  <si>
    <t>Rmot Speed</t>
  </si>
  <si>
    <t>LF4</t>
  </si>
  <si>
    <t>First Speed</t>
  </si>
  <si>
    <t>Loop Speed</t>
  </si>
  <si>
    <t>Tail Speed</t>
  </si>
  <si>
    <t>Reset Speed</t>
  </si>
  <si>
    <t>EFOMODE</t>
  </si>
  <si>
    <t>EFO Fire Time</t>
  </si>
  <si>
    <t>EFOCurrent</t>
  </si>
  <si>
    <t>EFOGap</t>
  </si>
  <si>
    <t>Tail Extension</t>
  </si>
  <si>
    <t>W/D</t>
  </si>
  <si>
    <t>Seating USG</t>
  </si>
  <si>
    <t>Lift USG</t>
  </si>
  <si>
    <t>Lift Throttle</t>
  </si>
  <si>
    <t>TIP</t>
  </si>
  <si>
    <t>C/V</t>
  </si>
  <si>
    <t>Contact Mode</t>
  </si>
  <si>
    <t>Pre-bleedUSG</t>
  </si>
  <si>
    <t>PBO</t>
  </si>
  <si>
    <t>TBD</t>
  </si>
  <si>
    <t>BSA</t>
  </si>
  <si>
    <t>DA</t>
  </si>
  <si>
    <t>HA</t>
  </si>
  <si>
    <t>BUA</t>
  </si>
  <si>
    <t>BFA</t>
  </si>
  <si>
    <t>DA2</t>
  </si>
  <si>
    <t>BTA</t>
  </si>
  <si>
    <t>DTA</t>
  </si>
  <si>
    <t>YSR</t>
  </si>
  <si>
    <t>SEYX</t>
  </si>
  <si>
    <t>SRS</t>
  </si>
  <si>
    <t>SFA</t>
  </si>
  <si>
    <t>BSE</t>
  </si>
  <si>
    <t>PS</t>
  </si>
  <si>
    <t>FRD</t>
  </si>
  <si>
    <t>FRA</t>
  </si>
  <si>
    <t>S1Mode</t>
  </si>
  <si>
    <t>S1 Power</t>
  </si>
  <si>
    <t>S1 Time</t>
  </si>
  <si>
    <t>S1 Force</t>
  </si>
  <si>
    <t>S1 USG Ramp</t>
  </si>
  <si>
    <t>S1 Force Ramp</t>
  </si>
  <si>
    <t>S1 Scrub Cycle</t>
  </si>
  <si>
    <t>S1 X Amplitude</t>
  </si>
  <si>
    <t>S1 Y Amplitude</t>
  </si>
  <si>
    <t>S1 Frequency</t>
  </si>
  <si>
    <t>S2Mode</t>
  </si>
  <si>
    <t>S2 Power</t>
  </si>
  <si>
    <t>S2 Time</t>
  </si>
  <si>
    <t>S2 Force</t>
  </si>
  <si>
    <t>S2 USG Ramp</t>
  </si>
  <si>
    <t>S2 Force Ramp</t>
  </si>
  <si>
    <t>S2 Scrub Cycle</t>
  </si>
  <si>
    <t>S2 X Amplitude</t>
  </si>
  <si>
    <t>S2 Y Amplitude</t>
  </si>
  <si>
    <t>S2 Frequency</t>
  </si>
  <si>
    <t>S3Mode</t>
  </si>
  <si>
    <t>S3 Power</t>
  </si>
  <si>
    <t>S3 Time</t>
  </si>
  <si>
    <t>S3 Force</t>
  </si>
  <si>
    <t>S3 USG Ramp</t>
  </si>
  <si>
    <t>S3 Force Ramp</t>
  </si>
  <si>
    <t>S3 Scrub Cycle</t>
  </si>
  <si>
    <t>S3 X Amplitude</t>
  </si>
  <si>
    <t>S3 Y Amplitude</t>
  </si>
  <si>
    <t>S3 Frequency</t>
  </si>
  <si>
    <t>S4Mode</t>
  </si>
  <si>
    <t>S4 Power</t>
  </si>
  <si>
    <t>S4 Time</t>
  </si>
  <si>
    <t>S4 Force</t>
  </si>
  <si>
    <t>S4 USG Ramp</t>
  </si>
  <si>
    <t>S4 Force Ramp</t>
  </si>
  <si>
    <t>S4 Scrub Cycle</t>
  </si>
  <si>
    <t>S4 X Amplitude</t>
  </si>
  <si>
    <t>S4 Y Amplitude</t>
  </si>
  <si>
    <t>S4 Frequency</t>
  </si>
  <si>
    <t>S5Mode</t>
  </si>
  <si>
    <t>S5 Power</t>
  </si>
  <si>
    <t>S5 Time</t>
  </si>
  <si>
    <t>S5 Force</t>
  </si>
  <si>
    <t>S5 USG Ramp</t>
  </si>
  <si>
    <t>S5 Force Ramp</t>
  </si>
  <si>
    <t>S5 Scrub Cycle</t>
  </si>
  <si>
    <t>S5 X Amplitude</t>
  </si>
  <si>
    <t>S5 Y Amplitude</t>
  </si>
  <si>
    <t>S5 Frequency</t>
  </si>
  <si>
    <t>USG Profile</t>
  </si>
  <si>
    <t>USG</t>
  </si>
  <si>
    <t>Bond Time</t>
  </si>
  <si>
    <t>Ramp Up</t>
  </si>
  <si>
    <t>Ramp Down</t>
  </si>
  <si>
    <t>Burst Time</t>
  </si>
  <si>
    <t>Bust Level</t>
  </si>
  <si>
    <t>USG Pre-Delay</t>
  </si>
  <si>
    <t>Force</t>
  </si>
  <si>
    <t>Init'l Force (ON/OFF)</t>
  </si>
  <si>
    <t>Initial Force</t>
  </si>
  <si>
    <t>Initial Force Time</t>
  </si>
  <si>
    <t>1st Scrub Mode</t>
  </si>
  <si>
    <t>X-Scrub</t>
  </si>
  <si>
    <t>Y-Scrub</t>
  </si>
  <si>
    <t>Scrub Cycle</t>
  </si>
  <si>
    <t>Scrub Phase</t>
  </si>
  <si>
    <t>Program</t>
  </si>
  <si>
    <t>Update date</t>
  </si>
  <si>
    <t>Owner</t>
  </si>
  <si>
    <t>Note</t>
  </si>
  <si>
    <t>Wire Material Type</t>
  </si>
  <si>
    <t>42</t>
  </si>
  <si>
    <t>E9239751.PRM</t>
  </si>
  <si>
    <t>Die To Lead</t>
  </si>
  <si>
    <t>P4M4</t>
  </si>
  <si>
    <t>100</t>
  </si>
  <si>
    <t>80</t>
  </si>
  <si>
    <t>50</t>
  </si>
  <si>
    <t>Fire Time</t>
  </si>
  <si>
    <t>110</t>
  </si>
  <si>
    <t>65</t>
  </si>
  <si>
    <t>25</t>
  </si>
  <si>
    <t>8</t>
  </si>
  <si>
    <t>0.7</t>
  </si>
  <si>
    <t>0</t>
  </si>
  <si>
    <t>30</t>
  </si>
  <si>
    <t>7</t>
  </si>
  <si>
    <t>0.5</t>
  </si>
  <si>
    <t>Auto</t>
  </si>
  <si>
    <t>20</t>
  </si>
  <si>
    <t>24</t>
  </si>
  <si>
    <t>-5</t>
  </si>
  <si>
    <t>4</t>
  </si>
  <si>
    <t>6</t>
  </si>
  <si>
    <t>15</t>
  </si>
  <si>
    <t>3</t>
  </si>
  <si>
    <t>10</t>
  </si>
  <si>
    <t>1</t>
  </si>
  <si>
    <t>60</t>
  </si>
  <si>
    <t>RLK3858AST</t>
  </si>
  <si>
    <t>29</t>
  </si>
  <si>
    <t>E923974M.PRM</t>
  </si>
  <si>
    <t>Die To Ground</t>
  </si>
  <si>
    <t>E923974G.PRM</t>
  </si>
  <si>
    <t>E923974H.PRM</t>
  </si>
  <si>
    <t>26</t>
  </si>
  <si>
    <t>E923974I.PRM</t>
  </si>
  <si>
    <t>27</t>
  </si>
  <si>
    <t>E923974J.PRM</t>
  </si>
  <si>
    <t>E923974O.PRM</t>
  </si>
  <si>
    <t>21</t>
  </si>
  <si>
    <t>E923974B.PRM</t>
  </si>
  <si>
    <t>22</t>
  </si>
  <si>
    <t>E923974D.PRM</t>
  </si>
  <si>
    <t>23</t>
  </si>
  <si>
    <t>E923974F.PRM</t>
  </si>
  <si>
    <t>46</t>
  </si>
  <si>
    <t>E9239756.PRM</t>
  </si>
  <si>
    <t>47</t>
  </si>
  <si>
    <t>E9239754.PRM</t>
  </si>
  <si>
    <t>44</t>
  </si>
  <si>
    <t>E9239738.PRM</t>
  </si>
  <si>
    <t>45</t>
  </si>
  <si>
    <t>E9239753.PRM</t>
  </si>
  <si>
    <t>28</t>
  </si>
  <si>
    <t>E923974P.PRM</t>
  </si>
  <si>
    <t>70</t>
  </si>
  <si>
    <t>43</t>
  </si>
  <si>
    <t>E9239752.PRM</t>
  </si>
  <si>
    <t>Ground To Lead</t>
  </si>
  <si>
    <t>ProBond-FFF</t>
  </si>
  <si>
    <t>125</t>
  </si>
  <si>
    <t>0.3</t>
  </si>
  <si>
    <t>F</t>
  </si>
  <si>
    <t>35</t>
  </si>
  <si>
    <t>1.5</t>
  </si>
  <si>
    <t>9</t>
  </si>
  <si>
    <t>12</t>
  </si>
  <si>
    <t>40</t>
  </si>
  <si>
    <t>E923974Z.PRM</t>
  </si>
  <si>
    <t>41</t>
  </si>
  <si>
    <t>E9239750.PRM</t>
  </si>
  <si>
    <t>E9239735.PRM</t>
  </si>
  <si>
    <t>Die To Die</t>
  </si>
  <si>
    <t>120</t>
  </si>
  <si>
    <t>85</t>
  </si>
  <si>
    <t>E9239742.PRM</t>
  </si>
  <si>
    <t>2</t>
  </si>
  <si>
    <t>E923974K.PRM</t>
  </si>
  <si>
    <t>5</t>
  </si>
  <si>
    <t>E9239741.PRM</t>
  </si>
  <si>
    <t>E9239736.PRM</t>
  </si>
  <si>
    <t>E9239755.PRM</t>
  </si>
  <si>
    <t>E9239743.PRM</t>
  </si>
  <si>
    <t>E923974A.PRM</t>
  </si>
  <si>
    <t>E9239745.PRM</t>
  </si>
  <si>
    <t>13</t>
  </si>
  <si>
    <t>E9239746.PRM</t>
  </si>
  <si>
    <t>38</t>
  </si>
  <si>
    <t>E923974W.PRM</t>
  </si>
  <si>
    <t>11</t>
  </si>
  <si>
    <t>E9239737.PRM</t>
  </si>
  <si>
    <t>E923974N.PRM</t>
  </si>
  <si>
    <t>39</t>
  </si>
  <si>
    <t>E923974X.PRM</t>
  </si>
  <si>
    <t>E9239757.PRM</t>
  </si>
  <si>
    <t>E9239747.PRM</t>
  </si>
  <si>
    <t>14</t>
  </si>
  <si>
    <t>E9239749.PRM</t>
  </si>
  <si>
    <t>17</t>
  </si>
  <si>
    <t>E9239744.PRM</t>
  </si>
  <si>
    <t>16</t>
  </si>
  <si>
    <t>E9239748.PRM</t>
  </si>
  <si>
    <t>19</t>
  </si>
  <si>
    <t>E923974C.PRM</t>
  </si>
  <si>
    <t>32</t>
  </si>
  <si>
    <t>E923974R.PRM</t>
  </si>
  <si>
    <t>31</t>
  </si>
  <si>
    <t>E923974Q.PRM</t>
  </si>
  <si>
    <t>E923974L.PRM</t>
  </si>
  <si>
    <t>37</t>
  </si>
  <si>
    <t>E923974V.PRM</t>
  </si>
  <si>
    <t>36</t>
  </si>
  <si>
    <t>E923974U.PRM</t>
  </si>
  <si>
    <t>E923974T.PRM</t>
  </si>
  <si>
    <t>34</t>
  </si>
  <si>
    <t>E923974Y.PRM</t>
  </si>
  <si>
    <t>33</t>
  </si>
  <si>
    <t>E923974S.PRM</t>
  </si>
  <si>
    <t>18</t>
  </si>
  <si>
    <t>E923974E.PRM</t>
  </si>
  <si>
    <t>Cap</t>
  </si>
  <si>
    <t>WireType</t>
  </si>
  <si>
    <t>Layer</t>
  </si>
  <si>
    <t>PLATING</t>
  </si>
  <si>
    <t>PKGSize</t>
  </si>
  <si>
    <t>LF No.</t>
  </si>
  <si>
    <t>B/D</t>
  </si>
  <si>
    <t>M/CType</t>
  </si>
  <si>
    <t>Long Lead</t>
  </si>
  <si>
    <t>Lead Width</t>
  </si>
  <si>
    <t>LF Vendor</t>
  </si>
  <si>
    <t>Plating Thickness</t>
  </si>
  <si>
    <t>Temp.</t>
  </si>
  <si>
    <t>Tip</t>
  </si>
  <si>
    <t>Contact Detect mode</t>
  </si>
  <si>
    <t>Contact mode</t>
  </si>
  <si>
    <t>Contact Thres.h(%)</t>
  </si>
  <si>
    <t>USG  Eqalization(%)</t>
  </si>
  <si>
    <t>Force Eqalization(%)</t>
  </si>
  <si>
    <t>Scrub Eqalization(%)</t>
  </si>
  <si>
    <t>Scrub width(%)</t>
  </si>
  <si>
    <t>Z-Tear USG</t>
  </si>
  <si>
    <t>Z-Tear Speed(%)</t>
  </si>
  <si>
    <t>Cap-Bond Offset</t>
  </si>
  <si>
    <t>SHTL Compensation</t>
  </si>
  <si>
    <t>Mode</t>
  </si>
  <si>
    <t>USG Current</t>
  </si>
  <si>
    <t>Time</t>
  </si>
  <si>
    <t>USG Ramp Up</t>
  </si>
  <si>
    <t>Force Ramp</t>
  </si>
  <si>
    <t>Z- Distance</t>
  </si>
  <si>
    <t>XY- Distance</t>
  </si>
  <si>
    <t>Scrub Cycles</t>
  </si>
  <si>
    <t>Scrub Amplitude</t>
  </si>
  <si>
    <t>Scrub Frequency</t>
  </si>
  <si>
    <t>RampUpTime</t>
  </si>
  <si>
    <t>Ramp DownTime</t>
  </si>
  <si>
    <t>Burst Level</t>
  </si>
  <si>
    <t>USGPre-Delay</t>
  </si>
  <si>
    <t>Initial'Force</t>
  </si>
  <si>
    <t>Initial'ForceTime</t>
  </si>
  <si>
    <t>Fore Ramp Time</t>
  </si>
  <si>
    <t>Scrub CycleBoost</t>
  </si>
  <si>
    <t>Scrub CycleAdjust</t>
  </si>
  <si>
    <t>Scrub ForceAdjust</t>
  </si>
  <si>
    <t>Scrub AmplitudeAdjust</t>
  </si>
  <si>
    <t>Scrub SpeedAdjust</t>
  </si>
  <si>
    <t>Peel Reduction</t>
  </si>
  <si>
    <t>SHTL Reduction</t>
  </si>
  <si>
    <t>Scrub USG Adjust</t>
  </si>
  <si>
    <t>Deform Adjust</t>
  </si>
  <si>
    <t>Wire Diameter Adjust</t>
  </si>
  <si>
    <t>Stitch Length Adjust</t>
  </si>
  <si>
    <t>SF</t>
  </si>
  <si>
    <t>0.4</t>
  </si>
  <si>
    <t>V</t>
  </si>
  <si>
    <t>75</t>
  </si>
  <si>
    <t>-0.7</t>
  </si>
  <si>
    <t>S</t>
  </si>
  <si>
    <t>-3</t>
  </si>
  <si>
    <t>2.3</t>
  </si>
  <si>
    <t>250</t>
  </si>
  <si>
    <t>Perp</t>
  </si>
  <si>
    <t>In-Line</t>
  </si>
  <si>
    <t>1.8</t>
  </si>
  <si>
    <t>FSF</t>
  </si>
  <si>
    <t>0.2</t>
  </si>
  <si>
    <t>-2</t>
  </si>
  <si>
    <t>2.5</t>
  </si>
  <si>
    <t>150</t>
  </si>
  <si>
    <t>RLK3858AST</t>
    <phoneticPr fontId="3" type="noConversion"/>
  </si>
  <si>
    <t>CELL</t>
    <phoneticPr fontId="3" type="noConversion"/>
  </si>
  <si>
    <t>LF</t>
    <phoneticPr fontId="3" type="noConversion"/>
  </si>
  <si>
    <t>Pitch</t>
    <phoneticPr fontId="3" type="noConversion"/>
  </si>
  <si>
    <t>Die</t>
    <phoneticPr fontId="3" type="noConversion"/>
  </si>
  <si>
    <t>Group</t>
    <phoneticPr fontId="3" type="noConversion"/>
  </si>
  <si>
    <t>Wire</t>
    <phoneticPr fontId="3" type="noConversion"/>
  </si>
  <si>
    <t>Loop Mode</t>
    <phoneticPr fontId="3" type="noConversion"/>
  </si>
  <si>
    <t>Bond Mode</t>
    <phoneticPr fontId="3" type="noConversion"/>
  </si>
  <si>
    <t>s_mdref</t>
    <phoneticPr fontId="3" type="noConversion"/>
  </si>
  <si>
    <t>e_mdref</t>
    <phoneticPr fontId="3" type="noConversion"/>
  </si>
  <si>
    <t>Location</t>
    <phoneticPr fontId="3" type="noConversion"/>
  </si>
  <si>
    <t>html
(20000)</t>
    <phoneticPr fontId="3" type="noConversion"/>
  </si>
  <si>
    <t>1st Bond</t>
    <phoneticPr fontId="3" type="noConversion"/>
  </si>
  <si>
    <t>2nd Bond</t>
    <phoneticPr fontId="3" type="noConversion"/>
  </si>
  <si>
    <t>Start</t>
    <phoneticPr fontId="5" type="noConversion"/>
  </si>
  <si>
    <t>End</t>
    <phoneticPr fontId="5" type="noConversion"/>
  </si>
  <si>
    <t>Gap</t>
    <phoneticPr fontId="3" type="noConversion"/>
  </si>
  <si>
    <t>RLK3858ASTAW</t>
    <phoneticPr fontId="3" type="noConversion"/>
  </si>
  <si>
    <t>.</t>
    <phoneticPr fontId="3" type="noConversion"/>
  </si>
  <si>
    <t>s_mdref</t>
  </si>
  <si>
    <t>e_mdref</t>
  </si>
  <si>
    <t>Location</t>
  </si>
  <si>
    <t>P2F</t>
  </si>
  <si>
    <t>F2L</t>
  </si>
  <si>
    <t>P2L</t>
  </si>
  <si>
    <t>BGA_2_Loop</t>
  </si>
  <si>
    <t>Org_Loop_Spec</t>
    <phoneticPr fontId="3" type="noConversion"/>
  </si>
  <si>
    <t>F2L</t>
    <phoneticPr fontId="3" type="noConversion"/>
  </si>
  <si>
    <t>Lat_Wkd_Loop</t>
  </si>
  <si>
    <t>P2L</t>
    <phoneticPr fontId="3" type="noConversion"/>
  </si>
  <si>
    <t>7,8</t>
    <phoneticPr fontId="3" type="noConversion"/>
  </si>
  <si>
    <t>62,63</t>
    <phoneticPr fontId="3" type="noConversion"/>
  </si>
  <si>
    <t>63,64</t>
    <phoneticPr fontId="3" type="noConversion"/>
  </si>
  <si>
    <t>64,65</t>
    <phoneticPr fontId="3" type="noConversion"/>
  </si>
  <si>
    <t>Looping+cv2</t>
    <phoneticPr fontId="3" type="noConversion"/>
  </si>
  <si>
    <t>rawdata</t>
    <phoneticPr fontId="9" type="noConversion"/>
  </si>
  <si>
    <t>slip</t>
    <phoneticPr fontId="9" type="noConversion"/>
  </si>
  <si>
    <t>gap</t>
    <phoneticPr fontId="9" type="noConversion"/>
  </si>
  <si>
    <t>wire1</t>
    <phoneticPr fontId="9" type="noConversion"/>
  </si>
  <si>
    <t>wire2</t>
  </si>
  <si>
    <t>wire3</t>
  </si>
  <si>
    <t>wire4</t>
  </si>
  <si>
    <t>wire5</t>
  </si>
  <si>
    <t>wire6</t>
  </si>
  <si>
    <t>wire7</t>
  </si>
  <si>
    <t>wire8</t>
  </si>
  <si>
    <t>wire9</t>
  </si>
  <si>
    <t>wire10</t>
  </si>
  <si>
    <t>wire11</t>
  </si>
  <si>
    <t>wire12</t>
  </si>
  <si>
    <t>wire13</t>
  </si>
  <si>
    <t>wire14</t>
  </si>
  <si>
    <t>wire15</t>
  </si>
  <si>
    <t>wire16</t>
  </si>
  <si>
    <t>wire17</t>
  </si>
  <si>
    <r>
      <t>S</t>
    </r>
    <r>
      <rPr>
        <sz val="10"/>
        <rFont val="Arial"/>
        <family val="2"/>
      </rPr>
      <t>tart</t>
    </r>
    <phoneticPr fontId="3" type="noConversion"/>
  </si>
  <si>
    <t>End</t>
  </si>
  <si>
    <t>End</t>
    <phoneticPr fontId="3" type="noConversion"/>
  </si>
  <si>
    <r>
      <t>1</t>
    </r>
    <r>
      <rPr>
        <sz val="10"/>
        <rFont val="Arial"/>
        <family val="2"/>
      </rPr>
      <t>s Bond</t>
    </r>
    <phoneticPr fontId="3" type="noConversion"/>
  </si>
  <si>
    <t>RLK3858AST</t>
    <phoneticPr fontId="3" type="noConversion"/>
  </si>
  <si>
    <t>wire18</t>
  </si>
  <si>
    <t>wire19</t>
  </si>
  <si>
    <t>wire20</t>
  </si>
  <si>
    <t>wire21</t>
  </si>
  <si>
    <t>wire22</t>
  </si>
  <si>
    <t>wire23</t>
  </si>
  <si>
    <t>wire24</t>
  </si>
  <si>
    <t>wire25</t>
  </si>
  <si>
    <t>wire26</t>
  </si>
  <si>
    <t>wire27</t>
  </si>
  <si>
    <t>wire28</t>
  </si>
  <si>
    <t>wire29</t>
  </si>
  <si>
    <t>wire30</t>
  </si>
  <si>
    <t>wire_no</t>
    <phoneticPr fontId="3" type="noConversion"/>
  </si>
  <si>
    <r>
      <t>p</t>
    </r>
    <r>
      <rPr>
        <sz val="10"/>
        <rFont val="Arial"/>
        <family val="2"/>
      </rPr>
      <t>rogram</t>
    </r>
    <phoneticPr fontId="3" type="noConversion"/>
  </si>
  <si>
    <t>1st Bond</t>
  </si>
  <si>
    <r>
      <t>c</t>
    </r>
    <r>
      <rPr>
        <sz val="10"/>
        <rFont val="Arial"/>
        <family val="2"/>
      </rPr>
      <t>ategory</t>
    </r>
    <phoneticPr fontId="3" type="noConversion"/>
  </si>
  <si>
    <t>Start</t>
  </si>
  <si>
    <t>status</t>
    <phoneticPr fontId="3" type="noConversion"/>
  </si>
  <si>
    <t>slip</t>
  </si>
  <si>
    <t>wire1</t>
  </si>
  <si>
    <t>window_length</t>
    <phoneticPr fontId="3" type="noConversion"/>
  </si>
  <si>
    <t>wire30</t>
    <phoneticPr fontId="3" type="noConversion"/>
  </si>
  <si>
    <t>wire31</t>
  </si>
  <si>
    <t>wire31</t>
    <phoneticPr fontId="3" type="noConversion"/>
  </si>
  <si>
    <t>wire32</t>
  </si>
  <si>
    <t>wire33</t>
  </si>
  <si>
    <t>RLK3858AST</t>
    <phoneticPr fontId="3" type="noConversion"/>
  </si>
  <si>
    <t>EPS1454BTK</t>
    <phoneticPr fontId="3" type="noConversion"/>
  </si>
  <si>
    <t>驗證</t>
    <phoneticPr fontId="3" type="noConversion"/>
  </si>
  <si>
    <r>
      <t>i</t>
    </r>
    <r>
      <rPr>
        <sz val="10"/>
        <rFont val="Arial"/>
        <family val="2"/>
      </rPr>
      <t>d</t>
    </r>
    <phoneticPr fontId="3" type="noConversion"/>
  </si>
  <si>
    <t>RIC0060OTT</t>
    <phoneticPr fontId="3" type="noConversion"/>
  </si>
  <si>
    <t>ENM0027FST</t>
  </si>
  <si>
    <t>ENM0027FST</t>
    <phoneticPr fontId="3" type="noConversion"/>
  </si>
  <si>
    <t>EPS2053OTK</t>
  </si>
  <si>
    <t>MEA1112OCT02</t>
  </si>
  <si>
    <t>RLK4344AST</t>
    <phoneticPr fontId="3" type="noConversion"/>
  </si>
  <si>
    <t>RLK4892OST02</t>
    <phoneticPr fontId="3" type="noConversion"/>
  </si>
  <si>
    <t>UMT2345OST02</t>
    <phoneticPr fontId="3" type="noConversion"/>
  </si>
  <si>
    <t>program</t>
  </si>
  <si>
    <t>status</t>
  </si>
  <si>
    <t>gap</t>
  </si>
  <si>
    <t>EPS1454BTK</t>
  </si>
  <si>
    <t>RIC0060OTT</t>
  </si>
  <si>
    <r>
      <t>I</t>
    </r>
    <r>
      <rPr>
        <sz val="10"/>
        <rFont val="Arial"/>
        <family val="2"/>
      </rPr>
      <t>TEM</t>
    </r>
    <phoneticPr fontId="3" type="noConversion"/>
  </si>
  <si>
    <t>ITEM</t>
  </si>
  <si>
    <t>RLK3858AST_Start_101</t>
  </si>
  <si>
    <t>RLK3858AST_End_101</t>
  </si>
  <si>
    <t>RLK3858AST_Start_41</t>
  </si>
  <si>
    <t>RLK3858AST_End_41</t>
  </si>
  <si>
    <t>ENM0027FST_Start_101</t>
  </si>
  <si>
    <t>ENM0027FST_End_101</t>
  </si>
  <si>
    <t>ENM0027FST_Start_41</t>
  </si>
  <si>
    <t>ENM0027FST_End_41</t>
  </si>
  <si>
    <t>EPS1454BTK_Start_101</t>
  </si>
  <si>
    <t>EPS1454BTK_End_101</t>
  </si>
  <si>
    <t>EPS1454BTK_Start_41</t>
  </si>
  <si>
    <t>EPS1454BTK_End_41</t>
  </si>
  <si>
    <t>RIC0060OTT_Start_101</t>
  </si>
  <si>
    <t>RIC0060OTT_End_101</t>
  </si>
  <si>
    <t>RIC0060OTT_Start_41</t>
  </si>
  <si>
    <t>RIC0060OTT_End_41</t>
  </si>
  <si>
    <t>window_length</t>
    <phoneticPr fontId="3" type="noConversion"/>
  </si>
  <si>
    <t>UMT2345OST02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</si>
</sst>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  <charset val="1"/>
    </font>
    <font>
      <sz val="12"/>
      <color theme="1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0"/>
      <color theme="0"/>
      <name val="Arial"/>
      <family val="2"/>
    </font>
    <font>
      <sz val="9"/>
      <name val="新細明體"/>
      <family val="3"/>
      <charset val="136"/>
      <scheme val="minor"/>
    </font>
    <font>
      <b/>
      <sz val="10"/>
      <color theme="9"/>
      <name val="Arial"/>
      <family val="2"/>
    </font>
    <font>
      <sz val="12"/>
      <color theme="1"/>
      <name val="新細明體"/>
      <family val="2"/>
      <scheme val="minor"/>
    </font>
    <font>
      <b/>
      <sz val="12"/>
      <color rgb="FF000000"/>
      <name val="Arial"/>
      <family val="2"/>
    </font>
    <font>
      <sz val="9"/>
      <name val="新細明體"/>
      <family val="2"/>
      <charset val="136"/>
      <scheme val="minor"/>
    </font>
    <font>
      <b/>
      <sz val="10"/>
      <color rgb="FFFF0000"/>
      <name val="Arial"/>
      <family val="2"/>
    </font>
    <font>
      <sz val="10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 applyNumberFormat="0" applyFill="0" applyBorder="0" applyAlignment="0" applyProtection="0"/>
    <xf numFmtId="0" fontId="2" fillId="0" borderId="0">
      <alignment vertical="center"/>
    </xf>
    <xf numFmtId="0" fontId="1" fillId="0" borderId="0">
      <alignment vertical="center"/>
    </xf>
    <xf numFmtId="0" fontId="2" fillId="0" borderId="0" applyNumberFormat="0" applyFill="0" applyBorder="0" applyAlignment="0" applyProtection="0"/>
    <xf numFmtId="0" fontId="7" fillId="0" borderId="0"/>
  </cellStyleXfs>
  <cellXfs count="32">
    <xf numFmtId="0" fontId="0" fillId="0" borderId="0" xfId="0" applyAlignment="1">
      <alignment vertical="center"/>
    </xf>
    <xf numFmtId="0" fontId="2" fillId="0" borderId="0" xfId="0" applyFont="1" applyFill="1" applyBorder="1" applyAlignment="1" applyProtection="1"/>
    <xf numFmtId="0" fontId="2" fillId="2" borderId="0" xfId="0" applyFont="1" applyFill="1" applyBorder="1" applyAlignment="1" applyProtection="1"/>
    <xf numFmtId="0" fontId="2" fillId="3" borderId="0" xfId="0" applyFont="1" applyFill="1" applyBorder="1" applyAlignment="1" applyProtection="1"/>
    <xf numFmtId="0" fontId="2" fillId="0" borderId="0" xfId="1">
      <alignment vertical="center"/>
    </xf>
    <xf numFmtId="0" fontId="4" fillId="4" borderId="1" xfId="1" applyFont="1" applyFill="1" applyBorder="1" applyAlignment="1">
      <alignment horizontal="center" vertical="center"/>
    </xf>
    <xf numFmtId="0" fontId="2" fillId="5" borderId="1" xfId="1" applyFill="1" applyBorder="1">
      <alignment vertical="center"/>
    </xf>
    <xf numFmtId="0" fontId="2" fillId="5" borderId="1" xfId="1" applyFill="1" applyBorder="1" applyAlignment="1">
      <alignment horizontal="center" vertical="center"/>
    </xf>
    <xf numFmtId="0" fontId="6" fillId="5" borderId="1" xfId="1" applyFont="1" applyFill="1" applyBorder="1">
      <alignment vertical="center"/>
    </xf>
    <xf numFmtId="0" fontId="2" fillId="6" borderId="0" xfId="1" applyFill="1">
      <alignment vertical="center"/>
    </xf>
    <xf numFmtId="0" fontId="2" fillId="0" borderId="0" xfId="1" applyAlignment="1">
      <alignment horizontal="center" vertical="center"/>
    </xf>
    <xf numFmtId="0" fontId="7" fillId="0" borderId="0" xfId="4"/>
    <xf numFmtId="3" fontId="2" fillId="5" borderId="1" xfId="1" applyNumberFormat="1" applyFill="1" applyBorder="1" applyAlignment="1">
      <alignment horizontal="center" vertical="center"/>
    </xf>
    <xf numFmtId="0" fontId="2" fillId="6" borderId="0" xfId="0" applyFont="1" applyFill="1" applyBorder="1" applyAlignment="1" applyProtection="1"/>
    <xf numFmtId="0" fontId="0" fillId="6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0" fillId="0" borderId="0" xfId="0" applyNumberFormat="1" applyAlignment="1">
      <alignment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3" xfId="1" applyFont="1" applyFill="1" applyBorder="1" applyAlignment="1">
      <alignment horizontal="center" vertical="center" wrapText="1"/>
    </xf>
    <xf numFmtId="0" fontId="4" fillId="4" borderId="4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/>
    </xf>
    <xf numFmtId="0" fontId="4" fillId="4" borderId="6" xfId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5">
    <cellStyle name="一般" xfId="0" builtinId="0"/>
    <cellStyle name="一般 2" xfId="1"/>
    <cellStyle name="一般 3" xfId="2"/>
    <cellStyle name="一般 4" xfId="3"/>
    <cellStyle name="一般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工作表2!$E$1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xVal>
            <c:strRef>
              <c:f>工作表2!$D$2:$D$445</c:f>
              <c:strCache>
                <c:ptCount val="444"/>
                <c:pt idx="0">
                  <c:v>RLK3858AST_Start_101</c:v>
                </c:pt>
                <c:pt idx="1">
                  <c:v>RLK3858AST_Start_101</c:v>
                </c:pt>
                <c:pt idx="2">
                  <c:v>RLK3858AST_Start_101</c:v>
                </c:pt>
                <c:pt idx="3">
                  <c:v>RLK3858AST_Start_101</c:v>
                </c:pt>
                <c:pt idx="4">
                  <c:v>RLK3858AST_Start_101</c:v>
                </c:pt>
                <c:pt idx="5">
                  <c:v>RLK3858AST_Start_101</c:v>
                </c:pt>
                <c:pt idx="6">
                  <c:v>RLK3858AST_Start_101</c:v>
                </c:pt>
                <c:pt idx="7">
                  <c:v>RLK3858AST_Start_101</c:v>
                </c:pt>
                <c:pt idx="8">
                  <c:v>RLK3858AST_Start_101</c:v>
                </c:pt>
                <c:pt idx="9">
                  <c:v>RLK3858AST_Start_101</c:v>
                </c:pt>
                <c:pt idx="10">
                  <c:v>RLK3858AST_Start_101</c:v>
                </c:pt>
                <c:pt idx="11">
                  <c:v>RLK3858AST_Start_101</c:v>
                </c:pt>
                <c:pt idx="12">
                  <c:v>RLK3858AST_Start_101</c:v>
                </c:pt>
                <c:pt idx="13">
                  <c:v>RLK3858AST_Start_101</c:v>
                </c:pt>
                <c:pt idx="14">
                  <c:v>RLK3858AST_Start_101</c:v>
                </c:pt>
                <c:pt idx="15">
                  <c:v>RLK3858AST_Start_101</c:v>
                </c:pt>
                <c:pt idx="16">
                  <c:v>RLK3858AST_Start_101</c:v>
                </c:pt>
                <c:pt idx="17">
                  <c:v>RLK3858AST_Start_101</c:v>
                </c:pt>
                <c:pt idx="18">
                  <c:v>RLK3858AST_Start_101</c:v>
                </c:pt>
                <c:pt idx="19">
                  <c:v>RLK3858AST_Start_101</c:v>
                </c:pt>
                <c:pt idx="20">
                  <c:v>RLK3858AST_Start_101</c:v>
                </c:pt>
                <c:pt idx="21">
                  <c:v>RLK3858AST_Start_101</c:v>
                </c:pt>
                <c:pt idx="22">
                  <c:v>RLK3858AST_Start_101</c:v>
                </c:pt>
                <c:pt idx="23">
                  <c:v>RLK3858AST_Start_101</c:v>
                </c:pt>
                <c:pt idx="24">
                  <c:v>RLK3858AST_Start_101</c:v>
                </c:pt>
                <c:pt idx="25">
                  <c:v>RLK3858AST_Start_101</c:v>
                </c:pt>
                <c:pt idx="26">
                  <c:v>RLK3858AST_Start_101</c:v>
                </c:pt>
                <c:pt idx="27">
                  <c:v>RLK3858AST_Start_101</c:v>
                </c:pt>
                <c:pt idx="28">
                  <c:v>RLK3858AST_Start_101</c:v>
                </c:pt>
                <c:pt idx="29">
                  <c:v>RLK3858AST_Start_101</c:v>
                </c:pt>
                <c:pt idx="30">
                  <c:v>RLK3858AST_Start_101</c:v>
                </c:pt>
                <c:pt idx="31">
                  <c:v>RLK3858AST_Start_101</c:v>
                </c:pt>
                <c:pt idx="32">
                  <c:v>RLK3858AST_Start_101</c:v>
                </c:pt>
                <c:pt idx="33">
                  <c:v>RLK3858AST_End_101</c:v>
                </c:pt>
                <c:pt idx="34">
                  <c:v>RLK3858AST_End_101</c:v>
                </c:pt>
                <c:pt idx="35">
                  <c:v>RLK3858AST_End_101</c:v>
                </c:pt>
                <c:pt idx="36">
                  <c:v>RLK3858AST_End_101</c:v>
                </c:pt>
                <c:pt idx="37">
                  <c:v>RLK3858AST_End_101</c:v>
                </c:pt>
                <c:pt idx="38">
                  <c:v>RLK3858AST_End_101</c:v>
                </c:pt>
                <c:pt idx="39">
                  <c:v>RLK3858AST_End_101</c:v>
                </c:pt>
                <c:pt idx="40">
                  <c:v>RLK3858AST_End_101</c:v>
                </c:pt>
                <c:pt idx="41">
                  <c:v>RLK3858AST_End_101</c:v>
                </c:pt>
                <c:pt idx="42">
                  <c:v>RLK3858AST_End_101</c:v>
                </c:pt>
                <c:pt idx="43">
                  <c:v>RLK3858AST_End_101</c:v>
                </c:pt>
                <c:pt idx="44">
                  <c:v>RLK3858AST_End_101</c:v>
                </c:pt>
                <c:pt idx="45">
                  <c:v>RLK3858AST_End_101</c:v>
                </c:pt>
                <c:pt idx="46">
                  <c:v>RLK3858AST_End_101</c:v>
                </c:pt>
                <c:pt idx="47">
                  <c:v>RLK3858AST_End_101</c:v>
                </c:pt>
                <c:pt idx="48">
                  <c:v>RLK3858AST_End_101</c:v>
                </c:pt>
                <c:pt idx="49">
                  <c:v>RLK3858AST_End_101</c:v>
                </c:pt>
                <c:pt idx="50">
                  <c:v>RLK3858AST_End_101</c:v>
                </c:pt>
                <c:pt idx="51">
                  <c:v>RLK3858AST_End_101</c:v>
                </c:pt>
                <c:pt idx="52">
                  <c:v>RLK3858AST_End_101</c:v>
                </c:pt>
                <c:pt idx="53">
                  <c:v>RLK3858AST_End_101</c:v>
                </c:pt>
                <c:pt idx="54">
                  <c:v>RLK3858AST_End_101</c:v>
                </c:pt>
                <c:pt idx="55">
                  <c:v>RLK3858AST_End_101</c:v>
                </c:pt>
                <c:pt idx="56">
                  <c:v>RLK3858AST_End_101</c:v>
                </c:pt>
                <c:pt idx="57">
                  <c:v>RLK3858AST_End_101</c:v>
                </c:pt>
                <c:pt idx="58">
                  <c:v>RLK3858AST_End_101</c:v>
                </c:pt>
                <c:pt idx="59">
                  <c:v>RLK3858AST_End_101</c:v>
                </c:pt>
                <c:pt idx="60">
                  <c:v>RLK3858AST_End_101</c:v>
                </c:pt>
                <c:pt idx="61">
                  <c:v>RLK3858AST_End_101</c:v>
                </c:pt>
                <c:pt idx="62">
                  <c:v>RLK3858AST_End_101</c:v>
                </c:pt>
                <c:pt idx="63">
                  <c:v>RLK3858AST_End_101</c:v>
                </c:pt>
                <c:pt idx="64">
                  <c:v>RLK3858AST_End_101</c:v>
                </c:pt>
                <c:pt idx="65">
                  <c:v>RLK3858AST_End_101</c:v>
                </c:pt>
                <c:pt idx="66">
                  <c:v>RLK3858AST_Start_41</c:v>
                </c:pt>
                <c:pt idx="67">
                  <c:v>RLK3858AST_Start_41</c:v>
                </c:pt>
                <c:pt idx="68">
                  <c:v>RLK3858AST_Start_41</c:v>
                </c:pt>
                <c:pt idx="69">
                  <c:v>RLK3858AST_Start_41</c:v>
                </c:pt>
                <c:pt idx="70">
                  <c:v>RLK3858AST_Start_41</c:v>
                </c:pt>
                <c:pt idx="71">
                  <c:v>RLK3858AST_Start_41</c:v>
                </c:pt>
                <c:pt idx="72">
                  <c:v>RLK3858AST_Start_41</c:v>
                </c:pt>
                <c:pt idx="73">
                  <c:v>RLK3858AST_Start_41</c:v>
                </c:pt>
                <c:pt idx="74">
                  <c:v>RLK3858AST_Start_41</c:v>
                </c:pt>
                <c:pt idx="75">
                  <c:v>RLK3858AST_Start_41</c:v>
                </c:pt>
                <c:pt idx="76">
                  <c:v>RLK3858AST_Start_41</c:v>
                </c:pt>
                <c:pt idx="77">
                  <c:v>RLK3858AST_Start_41</c:v>
                </c:pt>
                <c:pt idx="78">
                  <c:v>RLK3858AST_Start_41</c:v>
                </c:pt>
                <c:pt idx="79">
                  <c:v>RLK3858AST_Start_41</c:v>
                </c:pt>
                <c:pt idx="80">
                  <c:v>RLK3858AST_Start_41</c:v>
                </c:pt>
                <c:pt idx="81">
                  <c:v>RLK3858AST_Start_41</c:v>
                </c:pt>
                <c:pt idx="82">
                  <c:v>RLK3858AST_Start_41</c:v>
                </c:pt>
                <c:pt idx="83">
                  <c:v>RLK3858AST_Start_41</c:v>
                </c:pt>
                <c:pt idx="84">
                  <c:v>RLK3858AST_Start_41</c:v>
                </c:pt>
                <c:pt idx="85">
                  <c:v>RLK3858AST_Start_41</c:v>
                </c:pt>
                <c:pt idx="86">
                  <c:v>RLK3858AST_Start_41</c:v>
                </c:pt>
                <c:pt idx="87">
                  <c:v>RLK3858AST_Start_41</c:v>
                </c:pt>
                <c:pt idx="88">
                  <c:v>RLK3858AST_Start_41</c:v>
                </c:pt>
                <c:pt idx="89">
                  <c:v>RLK3858AST_Start_41</c:v>
                </c:pt>
                <c:pt idx="90">
                  <c:v>RLK3858AST_Start_41</c:v>
                </c:pt>
                <c:pt idx="91">
                  <c:v>RLK3858AST_Start_41</c:v>
                </c:pt>
                <c:pt idx="92">
                  <c:v>RLK3858AST_Start_41</c:v>
                </c:pt>
                <c:pt idx="93">
                  <c:v>RLK3858AST_Start_41</c:v>
                </c:pt>
                <c:pt idx="94">
                  <c:v>RLK3858AST_Start_41</c:v>
                </c:pt>
                <c:pt idx="95">
                  <c:v>RLK3858AST_Start_41</c:v>
                </c:pt>
                <c:pt idx="96">
                  <c:v>RLK3858AST_Start_41</c:v>
                </c:pt>
                <c:pt idx="97">
                  <c:v>RLK3858AST_Start_41</c:v>
                </c:pt>
                <c:pt idx="98">
                  <c:v>RLK3858AST_Start_41</c:v>
                </c:pt>
                <c:pt idx="99">
                  <c:v>RLK3858AST_End_41</c:v>
                </c:pt>
                <c:pt idx="100">
                  <c:v>RLK3858AST_End_41</c:v>
                </c:pt>
                <c:pt idx="101">
                  <c:v>RLK3858AST_End_41</c:v>
                </c:pt>
                <c:pt idx="102">
                  <c:v>RLK3858AST_End_41</c:v>
                </c:pt>
                <c:pt idx="103">
                  <c:v>RLK3858AST_End_41</c:v>
                </c:pt>
                <c:pt idx="104">
                  <c:v>RLK3858AST_End_41</c:v>
                </c:pt>
                <c:pt idx="105">
                  <c:v>RLK3858AST_End_41</c:v>
                </c:pt>
                <c:pt idx="106">
                  <c:v>RLK3858AST_End_41</c:v>
                </c:pt>
                <c:pt idx="107">
                  <c:v>RLK3858AST_End_41</c:v>
                </c:pt>
                <c:pt idx="108">
                  <c:v>RLK3858AST_End_41</c:v>
                </c:pt>
                <c:pt idx="109">
                  <c:v>RLK3858AST_End_41</c:v>
                </c:pt>
                <c:pt idx="110">
                  <c:v>RLK3858AST_End_41</c:v>
                </c:pt>
                <c:pt idx="111">
                  <c:v>RLK3858AST_End_41</c:v>
                </c:pt>
                <c:pt idx="112">
                  <c:v>RLK3858AST_End_41</c:v>
                </c:pt>
                <c:pt idx="113">
                  <c:v>RLK3858AST_End_41</c:v>
                </c:pt>
                <c:pt idx="114">
                  <c:v>RLK3858AST_End_41</c:v>
                </c:pt>
                <c:pt idx="115">
                  <c:v>RLK3858AST_End_41</c:v>
                </c:pt>
                <c:pt idx="116">
                  <c:v>RLK3858AST_End_41</c:v>
                </c:pt>
                <c:pt idx="117">
                  <c:v>RLK3858AST_End_41</c:v>
                </c:pt>
                <c:pt idx="118">
                  <c:v>RLK3858AST_End_41</c:v>
                </c:pt>
                <c:pt idx="119">
                  <c:v>RLK3858AST_End_41</c:v>
                </c:pt>
                <c:pt idx="120">
                  <c:v>RLK3858AST_End_41</c:v>
                </c:pt>
                <c:pt idx="121">
                  <c:v>RLK3858AST_End_41</c:v>
                </c:pt>
                <c:pt idx="122">
                  <c:v>RLK3858AST_End_41</c:v>
                </c:pt>
                <c:pt idx="123">
                  <c:v>RLK3858AST_End_41</c:v>
                </c:pt>
                <c:pt idx="124">
                  <c:v>RLK3858AST_End_41</c:v>
                </c:pt>
                <c:pt idx="125">
                  <c:v>RLK3858AST_End_41</c:v>
                </c:pt>
                <c:pt idx="126">
                  <c:v>RLK3858AST_End_41</c:v>
                </c:pt>
                <c:pt idx="127">
                  <c:v>RLK3858AST_End_41</c:v>
                </c:pt>
                <c:pt idx="128">
                  <c:v>RLK3858AST_End_41</c:v>
                </c:pt>
                <c:pt idx="129">
                  <c:v>RLK3858AST_End_41</c:v>
                </c:pt>
                <c:pt idx="130">
                  <c:v>RLK3858AST_End_41</c:v>
                </c:pt>
                <c:pt idx="131">
                  <c:v>RLK3858AST_End_41</c:v>
                </c:pt>
                <c:pt idx="132">
                  <c:v>ENM0027FST_Start_101</c:v>
                </c:pt>
                <c:pt idx="133">
                  <c:v>ENM0027FST_Start_101</c:v>
                </c:pt>
                <c:pt idx="134">
                  <c:v>ENM0027FST_Start_101</c:v>
                </c:pt>
                <c:pt idx="135">
                  <c:v>ENM0027FST_Start_101</c:v>
                </c:pt>
                <c:pt idx="136">
                  <c:v>ENM0027FST_Start_101</c:v>
                </c:pt>
                <c:pt idx="137">
                  <c:v>ENM0027FST_Start_101</c:v>
                </c:pt>
                <c:pt idx="138">
                  <c:v>ENM0027FST_Start_101</c:v>
                </c:pt>
                <c:pt idx="139">
                  <c:v>ENM0027FST_Start_101</c:v>
                </c:pt>
                <c:pt idx="140">
                  <c:v>ENM0027FST_Start_101</c:v>
                </c:pt>
                <c:pt idx="141">
                  <c:v>ENM0027FST_Start_101</c:v>
                </c:pt>
                <c:pt idx="142">
                  <c:v>ENM0027FST_Start_101</c:v>
                </c:pt>
                <c:pt idx="143">
                  <c:v>ENM0027FST_Start_101</c:v>
                </c:pt>
                <c:pt idx="144">
                  <c:v>ENM0027FST_Start_101</c:v>
                </c:pt>
                <c:pt idx="145">
                  <c:v>ENM0027FST_Start_101</c:v>
                </c:pt>
                <c:pt idx="146">
                  <c:v>ENM0027FST_Start_101</c:v>
                </c:pt>
                <c:pt idx="147">
                  <c:v>ENM0027FST_Start_101</c:v>
                </c:pt>
                <c:pt idx="148">
                  <c:v>ENM0027FST_Start_101</c:v>
                </c:pt>
                <c:pt idx="149">
                  <c:v>ENM0027FST_Start_101</c:v>
                </c:pt>
                <c:pt idx="150">
                  <c:v>ENM0027FST_Start_101</c:v>
                </c:pt>
                <c:pt idx="151">
                  <c:v>ENM0027FST_Start_101</c:v>
                </c:pt>
                <c:pt idx="152">
                  <c:v>ENM0027FST_Start_101</c:v>
                </c:pt>
                <c:pt idx="153">
                  <c:v>ENM0027FST_Start_101</c:v>
                </c:pt>
                <c:pt idx="154">
                  <c:v>ENM0027FST_Start_101</c:v>
                </c:pt>
                <c:pt idx="155">
                  <c:v>ENM0027FST_Start_101</c:v>
                </c:pt>
                <c:pt idx="156">
                  <c:v>ENM0027FST_Start_101</c:v>
                </c:pt>
                <c:pt idx="157">
                  <c:v>ENM0027FST_Start_101</c:v>
                </c:pt>
                <c:pt idx="158">
                  <c:v>ENM0027FST_Start_101</c:v>
                </c:pt>
                <c:pt idx="159">
                  <c:v>ENM0027FST_Start_101</c:v>
                </c:pt>
                <c:pt idx="160">
                  <c:v>ENM0027FST_Start_101</c:v>
                </c:pt>
                <c:pt idx="161">
                  <c:v>ENM0027FST_Start_101</c:v>
                </c:pt>
                <c:pt idx="162">
                  <c:v>ENM0027FST_End_101</c:v>
                </c:pt>
                <c:pt idx="163">
                  <c:v>ENM0027FST_End_101</c:v>
                </c:pt>
                <c:pt idx="164">
                  <c:v>ENM0027FST_End_101</c:v>
                </c:pt>
                <c:pt idx="165">
                  <c:v>ENM0027FST_End_101</c:v>
                </c:pt>
                <c:pt idx="166">
                  <c:v>ENM0027FST_End_101</c:v>
                </c:pt>
                <c:pt idx="167">
                  <c:v>ENM0027FST_End_101</c:v>
                </c:pt>
                <c:pt idx="168">
                  <c:v>ENM0027FST_End_101</c:v>
                </c:pt>
                <c:pt idx="169">
                  <c:v>ENM0027FST_End_101</c:v>
                </c:pt>
                <c:pt idx="170">
                  <c:v>ENM0027FST_End_101</c:v>
                </c:pt>
                <c:pt idx="171">
                  <c:v>ENM0027FST_End_101</c:v>
                </c:pt>
                <c:pt idx="172">
                  <c:v>ENM0027FST_End_101</c:v>
                </c:pt>
                <c:pt idx="173">
                  <c:v>ENM0027FST_End_101</c:v>
                </c:pt>
                <c:pt idx="174">
                  <c:v>ENM0027FST_End_101</c:v>
                </c:pt>
                <c:pt idx="175">
                  <c:v>ENM0027FST_End_101</c:v>
                </c:pt>
                <c:pt idx="176">
                  <c:v>ENM0027FST_End_101</c:v>
                </c:pt>
                <c:pt idx="177">
                  <c:v>ENM0027FST_End_101</c:v>
                </c:pt>
                <c:pt idx="178">
                  <c:v>ENM0027FST_End_101</c:v>
                </c:pt>
                <c:pt idx="179">
                  <c:v>ENM0027FST_End_101</c:v>
                </c:pt>
                <c:pt idx="180">
                  <c:v>ENM0027FST_End_101</c:v>
                </c:pt>
                <c:pt idx="181">
                  <c:v>ENM0027FST_End_101</c:v>
                </c:pt>
                <c:pt idx="182">
                  <c:v>ENM0027FST_End_101</c:v>
                </c:pt>
                <c:pt idx="183">
                  <c:v>ENM0027FST_End_101</c:v>
                </c:pt>
                <c:pt idx="184">
                  <c:v>ENM0027FST_End_101</c:v>
                </c:pt>
                <c:pt idx="185">
                  <c:v>ENM0027FST_End_101</c:v>
                </c:pt>
                <c:pt idx="186">
                  <c:v>ENM0027FST_End_101</c:v>
                </c:pt>
                <c:pt idx="187">
                  <c:v>ENM0027FST_End_101</c:v>
                </c:pt>
                <c:pt idx="188">
                  <c:v>ENM0027FST_End_101</c:v>
                </c:pt>
                <c:pt idx="189">
                  <c:v>ENM0027FST_End_101</c:v>
                </c:pt>
                <c:pt idx="190">
                  <c:v>ENM0027FST_End_101</c:v>
                </c:pt>
                <c:pt idx="191">
                  <c:v>ENM0027FST_End_101</c:v>
                </c:pt>
                <c:pt idx="192">
                  <c:v>ENM0027FST_Start_41</c:v>
                </c:pt>
                <c:pt idx="193">
                  <c:v>ENM0027FST_Start_41</c:v>
                </c:pt>
                <c:pt idx="194">
                  <c:v>ENM0027FST_Start_41</c:v>
                </c:pt>
                <c:pt idx="195">
                  <c:v>ENM0027FST_Start_41</c:v>
                </c:pt>
                <c:pt idx="196">
                  <c:v>ENM0027FST_Start_41</c:v>
                </c:pt>
                <c:pt idx="197">
                  <c:v>ENM0027FST_Start_41</c:v>
                </c:pt>
                <c:pt idx="198">
                  <c:v>ENM0027FST_Start_41</c:v>
                </c:pt>
                <c:pt idx="199">
                  <c:v>ENM0027FST_Start_41</c:v>
                </c:pt>
                <c:pt idx="200">
                  <c:v>ENM0027FST_Start_41</c:v>
                </c:pt>
                <c:pt idx="201">
                  <c:v>ENM0027FST_Start_41</c:v>
                </c:pt>
                <c:pt idx="202">
                  <c:v>ENM0027FST_Start_41</c:v>
                </c:pt>
                <c:pt idx="203">
                  <c:v>ENM0027FST_Start_41</c:v>
                </c:pt>
                <c:pt idx="204">
                  <c:v>ENM0027FST_Start_41</c:v>
                </c:pt>
                <c:pt idx="205">
                  <c:v>ENM0027FST_Start_41</c:v>
                </c:pt>
                <c:pt idx="206">
                  <c:v>ENM0027FST_Start_41</c:v>
                </c:pt>
                <c:pt idx="207">
                  <c:v>ENM0027FST_Start_41</c:v>
                </c:pt>
                <c:pt idx="208">
                  <c:v>ENM0027FST_Start_41</c:v>
                </c:pt>
                <c:pt idx="209">
                  <c:v>ENM0027FST_Start_41</c:v>
                </c:pt>
                <c:pt idx="210">
                  <c:v>ENM0027FST_Start_41</c:v>
                </c:pt>
                <c:pt idx="211">
                  <c:v>ENM0027FST_Start_41</c:v>
                </c:pt>
                <c:pt idx="212">
                  <c:v>ENM0027FST_Start_41</c:v>
                </c:pt>
                <c:pt idx="213">
                  <c:v>ENM0027FST_Start_41</c:v>
                </c:pt>
                <c:pt idx="214">
                  <c:v>ENM0027FST_Start_41</c:v>
                </c:pt>
                <c:pt idx="215">
                  <c:v>ENM0027FST_Start_41</c:v>
                </c:pt>
                <c:pt idx="216">
                  <c:v>ENM0027FST_Start_41</c:v>
                </c:pt>
                <c:pt idx="217">
                  <c:v>ENM0027FST_Start_41</c:v>
                </c:pt>
                <c:pt idx="218">
                  <c:v>ENM0027FST_Start_41</c:v>
                </c:pt>
                <c:pt idx="219">
                  <c:v>ENM0027FST_Start_41</c:v>
                </c:pt>
                <c:pt idx="220">
                  <c:v>ENM0027FST_Start_41</c:v>
                </c:pt>
                <c:pt idx="221">
                  <c:v>ENM0027FST_Start_41</c:v>
                </c:pt>
                <c:pt idx="222">
                  <c:v>ENM0027FST_End_41</c:v>
                </c:pt>
                <c:pt idx="223">
                  <c:v>ENM0027FST_End_41</c:v>
                </c:pt>
                <c:pt idx="224">
                  <c:v>ENM0027FST_End_41</c:v>
                </c:pt>
                <c:pt idx="225">
                  <c:v>ENM0027FST_End_41</c:v>
                </c:pt>
                <c:pt idx="226">
                  <c:v>ENM0027FST_End_41</c:v>
                </c:pt>
                <c:pt idx="227">
                  <c:v>ENM0027FST_End_41</c:v>
                </c:pt>
                <c:pt idx="228">
                  <c:v>ENM0027FST_End_41</c:v>
                </c:pt>
                <c:pt idx="229">
                  <c:v>ENM0027FST_End_41</c:v>
                </c:pt>
                <c:pt idx="230">
                  <c:v>ENM0027FST_End_41</c:v>
                </c:pt>
                <c:pt idx="231">
                  <c:v>ENM0027FST_End_41</c:v>
                </c:pt>
                <c:pt idx="232">
                  <c:v>ENM0027FST_End_41</c:v>
                </c:pt>
                <c:pt idx="233">
                  <c:v>ENM0027FST_End_41</c:v>
                </c:pt>
                <c:pt idx="234">
                  <c:v>ENM0027FST_End_41</c:v>
                </c:pt>
                <c:pt idx="235">
                  <c:v>ENM0027FST_End_41</c:v>
                </c:pt>
                <c:pt idx="236">
                  <c:v>ENM0027FST_End_41</c:v>
                </c:pt>
                <c:pt idx="237">
                  <c:v>ENM0027FST_End_41</c:v>
                </c:pt>
                <c:pt idx="238">
                  <c:v>ENM0027FST_End_41</c:v>
                </c:pt>
                <c:pt idx="239">
                  <c:v>ENM0027FST_End_41</c:v>
                </c:pt>
                <c:pt idx="240">
                  <c:v>ENM0027FST_End_41</c:v>
                </c:pt>
                <c:pt idx="241">
                  <c:v>ENM0027FST_End_41</c:v>
                </c:pt>
                <c:pt idx="242">
                  <c:v>ENM0027FST_End_41</c:v>
                </c:pt>
                <c:pt idx="243">
                  <c:v>ENM0027FST_End_41</c:v>
                </c:pt>
                <c:pt idx="244">
                  <c:v>ENM0027FST_End_41</c:v>
                </c:pt>
                <c:pt idx="245">
                  <c:v>ENM0027FST_End_41</c:v>
                </c:pt>
                <c:pt idx="246">
                  <c:v>ENM0027FST_End_41</c:v>
                </c:pt>
                <c:pt idx="247">
                  <c:v>ENM0027FST_End_41</c:v>
                </c:pt>
                <c:pt idx="248">
                  <c:v>ENM0027FST_End_41</c:v>
                </c:pt>
                <c:pt idx="249">
                  <c:v>ENM0027FST_End_41</c:v>
                </c:pt>
                <c:pt idx="250">
                  <c:v>ENM0027FST_End_41</c:v>
                </c:pt>
                <c:pt idx="251">
                  <c:v>ENM0027FST_End_41</c:v>
                </c:pt>
                <c:pt idx="252">
                  <c:v>EPS1454BTK_Start_101</c:v>
                </c:pt>
                <c:pt idx="253">
                  <c:v>EPS1454BTK_Start_101</c:v>
                </c:pt>
                <c:pt idx="254">
                  <c:v>EPS1454BTK_Start_101</c:v>
                </c:pt>
                <c:pt idx="255">
                  <c:v>EPS1454BTK_Start_101</c:v>
                </c:pt>
                <c:pt idx="256">
                  <c:v>EPS1454BTK_Start_101</c:v>
                </c:pt>
                <c:pt idx="257">
                  <c:v>EPS1454BTK_Start_101</c:v>
                </c:pt>
                <c:pt idx="258">
                  <c:v>EPS1454BTK_Start_101</c:v>
                </c:pt>
                <c:pt idx="259">
                  <c:v>EPS1454BTK_Start_101</c:v>
                </c:pt>
                <c:pt idx="260">
                  <c:v>EPS1454BTK_Start_101</c:v>
                </c:pt>
                <c:pt idx="261">
                  <c:v>EPS1454BTK_Start_101</c:v>
                </c:pt>
                <c:pt idx="262">
                  <c:v>EPS1454BTK_Start_101</c:v>
                </c:pt>
                <c:pt idx="263">
                  <c:v>EPS1454BTK_Start_101</c:v>
                </c:pt>
                <c:pt idx="264">
                  <c:v>EPS1454BTK_Start_101</c:v>
                </c:pt>
                <c:pt idx="265">
                  <c:v>EPS1454BTK_Start_101</c:v>
                </c:pt>
                <c:pt idx="266">
                  <c:v>EPS1454BTK_Start_101</c:v>
                </c:pt>
                <c:pt idx="267">
                  <c:v>EPS1454BTK_Start_101</c:v>
                </c:pt>
                <c:pt idx="268">
                  <c:v>EPS1454BTK_Start_101</c:v>
                </c:pt>
                <c:pt idx="269">
                  <c:v>EPS1454BTK_Start_101</c:v>
                </c:pt>
                <c:pt idx="270">
                  <c:v>EPS1454BTK_Start_101</c:v>
                </c:pt>
                <c:pt idx="271">
                  <c:v>EPS1454BTK_Start_101</c:v>
                </c:pt>
                <c:pt idx="272">
                  <c:v>EPS1454BTK_Start_101</c:v>
                </c:pt>
                <c:pt idx="273">
                  <c:v>EPS1454BTK_Start_101</c:v>
                </c:pt>
                <c:pt idx="274">
                  <c:v>EPS1454BTK_Start_101</c:v>
                </c:pt>
                <c:pt idx="275">
                  <c:v>EPS1454BTK_Start_101</c:v>
                </c:pt>
                <c:pt idx="276">
                  <c:v>EPS1454BTK_Start_101</c:v>
                </c:pt>
                <c:pt idx="277">
                  <c:v>EPS1454BTK_Start_101</c:v>
                </c:pt>
                <c:pt idx="278">
                  <c:v>EPS1454BTK_Start_101</c:v>
                </c:pt>
                <c:pt idx="279">
                  <c:v>EPS1454BTK_Start_101</c:v>
                </c:pt>
                <c:pt idx="280">
                  <c:v>EPS1454BTK_Start_101</c:v>
                </c:pt>
                <c:pt idx="281">
                  <c:v>EPS1454BTK_Start_101</c:v>
                </c:pt>
                <c:pt idx="282">
                  <c:v>EPS1454BTK_End_101</c:v>
                </c:pt>
                <c:pt idx="283">
                  <c:v>EPS1454BTK_End_101</c:v>
                </c:pt>
                <c:pt idx="284">
                  <c:v>EPS1454BTK_End_101</c:v>
                </c:pt>
                <c:pt idx="285">
                  <c:v>EPS1454BTK_End_101</c:v>
                </c:pt>
                <c:pt idx="286">
                  <c:v>EPS1454BTK_End_101</c:v>
                </c:pt>
                <c:pt idx="287">
                  <c:v>EPS1454BTK_End_101</c:v>
                </c:pt>
                <c:pt idx="288">
                  <c:v>EPS1454BTK_End_101</c:v>
                </c:pt>
                <c:pt idx="289">
                  <c:v>EPS1454BTK_End_101</c:v>
                </c:pt>
                <c:pt idx="290">
                  <c:v>EPS1454BTK_End_101</c:v>
                </c:pt>
                <c:pt idx="291">
                  <c:v>EPS1454BTK_End_101</c:v>
                </c:pt>
                <c:pt idx="292">
                  <c:v>EPS1454BTK_End_101</c:v>
                </c:pt>
                <c:pt idx="293">
                  <c:v>EPS1454BTK_End_101</c:v>
                </c:pt>
                <c:pt idx="294">
                  <c:v>EPS1454BTK_End_101</c:v>
                </c:pt>
                <c:pt idx="295">
                  <c:v>EPS1454BTK_End_101</c:v>
                </c:pt>
                <c:pt idx="296">
                  <c:v>EPS1454BTK_End_101</c:v>
                </c:pt>
                <c:pt idx="297">
                  <c:v>EPS1454BTK_End_101</c:v>
                </c:pt>
                <c:pt idx="298">
                  <c:v>EPS1454BTK_End_101</c:v>
                </c:pt>
                <c:pt idx="299">
                  <c:v>EPS1454BTK_End_101</c:v>
                </c:pt>
                <c:pt idx="300">
                  <c:v>EPS1454BTK_End_101</c:v>
                </c:pt>
                <c:pt idx="301">
                  <c:v>EPS1454BTK_End_101</c:v>
                </c:pt>
                <c:pt idx="302">
                  <c:v>EPS1454BTK_End_101</c:v>
                </c:pt>
                <c:pt idx="303">
                  <c:v>EPS1454BTK_End_101</c:v>
                </c:pt>
                <c:pt idx="304">
                  <c:v>EPS1454BTK_End_101</c:v>
                </c:pt>
                <c:pt idx="305">
                  <c:v>EPS1454BTK_End_101</c:v>
                </c:pt>
                <c:pt idx="306">
                  <c:v>EPS1454BTK_End_101</c:v>
                </c:pt>
                <c:pt idx="307">
                  <c:v>EPS1454BTK_End_101</c:v>
                </c:pt>
                <c:pt idx="308">
                  <c:v>EPS1454BTK_End_101</c:v>
                </c:pt>
                <c:pt idx="309">
                  <c:v>EPS1454BTK_End_101</c:v>
                </c:pt>
                <c:pt idx="310">
                  <c:v>EPS1454BTK_End_101</c:v>
                </c:pt>
                <c:pt idx="311">
                  <c:v>EPS1454BTK_End_101</c:v>
                </c:pt>
                <c:pt idx="312">
                  <c:v>EPS1454BTK_Start_41</c:v>
                </c:pt>
                <c:pt idx="313">
                  <c:v>EPS1454BTK_Start_41</c:v>
                </c:pt>
                <c:pt idx="314">
                  <c:v>EPS1454BTK_Start_41</c:v>
                </c:pt>
                <c:pt idx="315">
                  <c:v>EPS1454BTK_Start_41</c:v>
                </c:pt>
                <c:pt idx="316">
                  <c:v>EPS1454BTK_Start_41</c:v>
                </c:pt>
                <c:pt idx="317">
                  <c:v>EPS1454BTK_Start_41</c:v>
                </c:pt>
                <c:pt idx="318">
                  <c:v>EPS1454BTK_Start_41</c:v>
                </c:pt>
                <c:pt idx="319">
                  <c:v>EPS1454BTK_Start_41</c:v>
                </c:pt>
                <c:pt idx="320">
                  <c:v>EPS1454BTK_Start_41</c:v>
                </c:pt>
                <c:pt idx="321">
                  <c:v>EPS1454BTK_Start_41</c:v>
                </c:pt>
                <c:pt idx="322">
                  <c:v>EPS1454BTK_Start_41</c:v>
                </c:pt>
                <c:pt idx="323">
                  <c:v>EPS1454BTK_Start_41</c:v>
                </c:pt>
                <c:pt idx="324">
                  <c:v>EPS1454BTK_Start_41</c:v>
                </c:pt>
                <c:pt idx="325">
                  <c:v>EPS1454BTK_Start_41</c:v>
                </c:pt>
                <c:pt idx="326">
                  <c:v>EPS1454BTK_Start_41</c:v>
                </c:pt>
                <c:pt idx="327">
                  <c:v>EPS1454BTK_Start_41</c:v>
                </c:pt>
                <c:pt idx="328">
                  <c:v>EPS1454BTK_Start_41</c:v>
                </c:pt>
                <c:pt idx="329">
                  <c:v>EPS1454BTK_Start_41</c:v>
                </c:pt>
                <c:pt idx="330">
                  <c:v>EPS1454BTK_Start_41</c:v>
                </c:pt>
                <c:pt idx="331">
                  <c:v>EPS1454BTK_Start_41</c:v>
                </c:pt>
                <c:pt idx="332">
                  <c:v>EPS1454BTK_Start_41</c:v>
                </c:pt>
                <c:pt idx="333">
                  <c:v>EPS1454BTK_Start_41</c:v>
                </c:pt>
                <c:pt idx="334">
                  <c:v>EPS1454BTK_Start_41</c:v>
                </c:pt>
                <c:pt idx="335">
                  <c:v>EPS1454BTK_Start_41</c:v>
                </c:pt>
                <c:pt idx="336">
                  <c:v>EPS1454BTK_Start_41</c:v>
                </c:pt>
                <c:pt idx="337">
                  <c:v>EPS1454BTK_Start_41</c:v>
                </c:pt>
                <c:pt idx="338">
                  <c:v>EPS1454BTK_Start_41</c:v>
                </c:pt>
                <c:pt idx="339">
                  <c:v>EPS1454BTK_Start_41</c:v>
                </c:pt>
                <c:pt idx="340">
                  <c:v>EPS1454BTK_Start_41</c:v>
                </c:pt>
                <c:pt idx="341">
                  <c:v>EPS1454BTK_Start_41</c:v>
                </c:pt>
                <c:pt idx="342">
                  <c:v>EPS1454BTK_End_41</c:v>
                </c:pt>
                <c:pt idx="343">
                  <c:v>EPS1454BTK_End_41</c:v>
                </c:pt>
                <c:pt idx="344">
                  <c:v>EPS1454BTK_End_41</c:v>
                </c:pt>
                <c:pt idx="345">
                  <c:v>EPS1454BTK_End_41</c:v>
                </c:pt>
                <c:pt idx="346">
                  <c:v>EPS1454BTK_End_41</c:v>
                </c:pt>
                <c:pt idx="347">
                  <c:v>EPS1454BTK_End_41</c:v>
                </c:pt>
                <c:pt idx="348">
                  <c:v>EPS1454BTK_End_41</c:v>
                </c:pt>
                <c:pt idx="349">
                  <c:v>EPS1454BTK_End_41</c:v>
                </c:pt>
                <c:pt idx="350">
                  <c:v>EPS1454BTK_End_41</c:v>
                </c:pt>
                <c:pt idx="351">
                  <c:v>EPS1454BTK_End_41</c:v>
                </c:pt>
                <c:pt idx="352">
                  <c:v>EPS1454BTK_End_41</c:v>
                </c:pt>
                <c:pt idx="353">
                  <c:v>EPS1454BTK_End_41</c:v>
                </c:pt>
                <c:pt idx="354">
                  <c:v>EPS1454BTK_End_41</c:v>
                </c:pt>
                <c:pt idx="355">
                  <c:v>EPS1454BTK_End_41</c:v>
                </c:pt>
                <c:pt idx="356">
                  <c:v>EPS1454BTK_End_41</c:v>
                </c:pt>
                <c:pt idx="357">
                  <c:v>EPS1454BTK_End_41</c:v>
                </c:pt>
                <c:pt idx="358">
                  <c:v>EPS1454BTK_End_41</c:v>
                </c:pt>
                <c:pt idx="359">
                  <c:v>EPS1454BTK_End_41</c:v>
                </c:pt>
                <c:pt idx="360">
                  <c:v>EPS1454BTK_End_41</c:v>
                </c:pt>
                <c:pt idx="361">
                  <c:v>EPS1454BTK_End_41</c:v>
                </c:pt>
                <c:pt idx="362">
                  <c:v>EPS1454BTK_End_41</c:v>
                </c:pt>
                <c:pt idx="363">
                  <c:v>EPS1454BTK_End_41</c:v>
                </c:pt>
                <c:pt idx="364">
                  <c:v>EPS1454BTK_End_41</c:v>
                </c:pt>
                <c:pt idx="365">
                  <c:v>EPS1454BTK_End_41</c:v>
                </c:pt>
                <c:pt idx="366">
                  <c:v>EPS1454BTK_End_41</c:v>
                </c:pt>
                <c:pt idx="367">
                  <c:v>EPS1454BTK_End_41</c:v>
                </c:pt>
                <c:pt idx="368">
                  <c:v>EPS1454BTK_End_41</c:v>
                </c:pt>
                <c:pt idx="369">
                  <c:v>EPS1454BTK_End_41</c:v>
                </c:pt>
                <c:pt idx="370">
                  <c:v>EPS1454BTK_End_41</c:v>
                </c:pt>
                <c:pt idx="371">
                  <c:v>EPS1454BTK_End_41</c:v>
                </c:pt>
                <c:pt idx="372">
                  <c:v>RIC0060OTT_Start_101</c:v>
                </c:pt>
                <c:pt idx="373">
                  <c:v>RIC0060OTT_Start_101</c:v>
                </c:pt>
                <c:pt idx="374">
                  <c:v>RIC0060OTT_Start_101</c:v>
                </c:pt>
                <c:pt idx="375">
                  <c:v>RIC0060OTT_Start_101</c:v>
                </c:pt>
                <c:pt idx="376">
                  <c:v>RIC0060OTT_Start_101</c:v>
                </c:pt>
                <c:pt idx="377">
                  <c:v>RIC0060OTT_Start_101</c:v>
                </c:pt>
                <c:pt idx="378">
                  <c:v>RIC0060OTT_Start_101</c:v>
                </c:pt>
                <c:pt idx="379">
                  <c:v>RIC0060OTT_Start_101</c:v>
                </c:pt>
                <c:pt idx="380">
                  <c:v>RIC0060OTT_Start_101</c:v>
                </c:pt>
                <c:pt idx="381">
                  <c:v>RIC0060OTT_Start_101</c:v>
                </c:pt>
                <c:pt idx="382">
                  <c:v>RIC0060OTT_Start_101</c:v>
                </c:pt>
                <c:pt idx="383">
                  <c:v>RIC0060OTT_Start_101</c:v>
                </c:pt>
                <c:pt idx="384">
                  <c:v>RIC0060OTT_Start_101</c:v>
                </c:pt>
                <c:pt idx="385">
                  <c:v>RIC0060OTT_Start_101</c:v>
                </c:pt>
                <c:pt idx="386">
                  <c:v>RIC0060OTT_Start_101</c:v>
                </c:pt>
                <c:pt idx="387">
                  <c:v>RIC0060OTT_Start_101</c:v>
                </c:pt>
                <c:pt idx="388">
                  <c:v>RIC0060OTT_Start_101</c:v>
                </c:pt>
                <c:pt idx="389">
                  <c:v>RIC0060OTT_Start_101</c:v>
                </c:pt>
                <c:pt idx="390">
                  <c:v>RIC0060OTT_End_101</c:v>
                </c:pt>
                <c:pt idx="391">
                  <c:v>RIC0060OTT_End_101</c:v>
                </c:pt>
                <c:pt idx="392">
                  <c:v>RIC0060OTT_End_101</c:v>
                </c:pt>
                <c:pt idx="393">
                  <c:v>RIC0060OTT_End_101</c:v>
                </c:pt>
                <c:pt idx="394">
                  <c:v>RIC0060OTT_End_101</c:v>
                </c:pt>
                <c:pt idx="395">
                  <c:v>RIC0060OTT_End_101</c:v>
                </c:pt>
                <c:pt idx="396">
                  <c:v>RIC0060OTT_End_101</c:v>
                </c:pt>
                <c:pt idx="397">
                  <c:v>RIC0060OTT_End_101</c:v>
                </c:pt>
                <c:pt idx="398">
                  <c:v>RIC0060OTT_End_101</c:v>
                </c:pt>
                <c:pt idx="399">
                  <c:v>RIC0060OTT_End_101</c:v>
                </c:pt>
                <c:pt idx="400">
                  <c:v>RIC0060OTT_End_101</c:v>
                </c:pt>
                <c:pt idx="401">
                  <c:v>RIC0060OTT_End_101</c:v>
                </c:pt>
                <c:pt idx="402">
                  <c:v>RIC0060OTT_End_101</c:v>
                </c:pt>
                <c:pt idx="403">
                  <c:v>RIC0060OTT_End_101</c:v>
                </c:pt>
                <c:pt idx="404">
                  <c:v>RIC0060OTT_End_101</c:v>
                </c:pt>
                <c:pt idx="405">
                  <c:v>RIC0060OTT_End_101</c:v>
                </c:pt>
                <c:pt idx="406">
                  <c:v>RIC0060OTT_End_101</c:v>
                </c:pt>
                <c:pt idx="407">
                  <c:v>RIC0060OTT_End_101</c:v>
                </c:pt>
                <c:pt idx="408">
                  <c:v>RIC0060OTT_Start_41</c:v>
                </c:pt>
                <c:pt idx="409">
                  <c:v>RIC0060OTT_Start_41</c:v>
                </c:pt>
                <c:pt idx="410">
                  <c:v>RIC0060OTT_Start_41</c:v>
                </c:pt>
                <c:pt idx="411">
                  <c:v>RIC0060OTT_Start_41</c:v>
                </c:pt>
                <c:pt idx="412">
                  <c:v>RIC0060OTT_Start_41</c:v>
                </c:pt>
                <c:pt idx="413">
                  <c:v>RIC0060OTT_Start_41</c:v>
                </c:pt>
                <c:pt idx="414">
                  <c:v>RIC0060OTT_Start_41</c:v>
                </c:pt>
                <c:pt idx="415">
                  <c:v>RIC0060OTT_Start_41</c:v>
                </c:pt>
                <c:pt idx="416">
                  <c:v>RIC0060OTT_Start_41</c:v>
                </c:pt>
                <c:pt idx="417">
                  <c:v>RIC0060OTT_Start_41</c:v>
                </c:pt>
                <c:pt idx="418">
                  <c:v>RIC0060OTT_Start_41</c:v>
                </c:pt>
                <c:pt idx="419">
                  <c:v>RIC0060OTT_Start_41</c:v>
                </c:pt>
                <c:pt idx="420">
                  <c:v>RIC0060OTT_Start_41</c:v>
                </c:pt>
                <c:pt idx="421">
                  <c:v>RIC0060OTT_Start_41</c:v>
                </c:pt>
                <c:pt idx="422">
                  <c:v>RIC0060OTT_Start_41</c:v>
                </c:pt>
                <c:pt idx="423">
                  <c:v>RIC0060OTT_Start_41</c:v>
                </c:pt>
                <c:pt idx="424">
                  <c:v>RIC0060OTT_Start_41</c:v>
                </c:pt>
                <c:pt idx="425">
                  <c:v>RIC0060OTT_Start_41</c:v>
                </c:pt>
                <c:pt idx="426">
                  <c:v>RIC0060OTT_End_41</c:v>
                </c:pt>
                <c:pt idx="427">
                  <c:v>RIC0060OTT_End_41</c:v>
                </c:pt>
                <c:pt idx="428">
                  <c:v>RIC0060OTT_End_41</c:v>
                </c:pt>
                <c:pt idx="429">
                  <c:v>RIC0060OTT_End_41</c:v>
                </c:pt>
                <c:pt idx="430">
                  <c:v>RIC0060OTT_End_41</c:v>
                </c:pt>
                <c:pt idx="431">
                  <c:v>RIC0060OTT_End_41</c:v>
                </c:pt>
                <c:pt idx="432">
                  <c:v>RIC0060OTT_End_41</c:v>
                </c:pt>
                <c:pt idx="433">
                  <c:v>RIC0060OTT_End_41</c:v>
                </c:pt>
                <c:pt idx="434">
                  <c:v>RIC0060OTT_End_41</c:v>
                </c:pt>
                <c:pt idx="435">
                  <c:v>RIC0060OTT_End_41</c:v>
                </c:pt>
                <c:pt idx="436">
                  <c:v>RIC0060OTT_End_41</c:v>
                </c:pt>
                <c:pt idx="437">
                  <c:v>RIC0060OTT_End_41</c:v>
                </c:pt>
                <c:pt idx="438">
                  <c:v>RIC0060OTT_End_41</c:v>
                </c:pt>
                <c:pt idx="439">
                  <c:v>RIC0060OTT_End_41</c:v>
                </c:pt>
                <c:pt idx="440">
                  <c:v>RIC0060OTT_End_41</c:v>
                </c:pt>
                <c:pt idx="441">
                  <c:v>RIC0060OTT_End_41</c:v>
                </c:pt>
                <c:pt idx="442">
                  <c:v>RIC0060OTT_End_41</c:v>
                </c:pt>
                <c:pt idx="443">
                  <c:v>RIC0060OTT_End_41</c:v>
                </c:pt>
              </c:strCache>
            </c:strRef>
          </c:xVal>
          <c:yVal>
            <c:numRef>
              <c:f>工作表2!$E$2:$E$445</c:f>
              <c:numCache>
                <c:formatCode>General</c:formatCode>
                <c:ptCount val="444"/>
                <c:pt idx="0">
                  <c:v>6</c:v>
                </c:pt>
                <c:pt idx="1">
                  <c:v>33</c:v>
                </c:pt>
                <c:pt idx="2">
                  <c:v>49</c:v>
                </c:pt>
                <c:pt idx="3">
                  <c:v>33</c:v>
                </c:pt>
                <c:pt idx="4">
                  <c:v>41</c:v>
                </c:pt>
                <c:pt idx="5">
                  <c:v>45</c:v>
                </c:pt>
                <c:pt idx="6">
                  <c:v>41</c:v>
                </c:pt>
                <c:pt idx="7">
                  <c:v>66</c:v>
                </c:pt>
                <c:pt idx="8">
                  <c:v>40</c:v>
                </c:pt>
                <c:pt idx="9">
                  <c:v>29</c:v>
                </c:pt>
                <c:pt idx="10">
                  <c:v>50</c:v>
                </c:pt>
                <c:pt idx="11">
                  <c:v>36</c:v>
                </c:pt>
                <c:pt idx="12">
                  <c:v>56</c:v>
                </c:pt>
                <c:pt idx="13">
                  <c:v>33</c:v>
                </c:pt>
                <c:pt idx="14">
                  <c:v>41</c:v>
                </c:pt>
                <c:pt idx="15">
                  <c:v>35</c:v>
                </c:pt>
                <c:pt idx="16">
                  <c:v>33</c:v>
                </c:pt>
                <c:pt idx="17">
                  <c:v>63</c:v>
                </c:pt>
                <c:pt idx="18">
                  <c:v>42</c:v>
                </c:pt>
                <c:pt idx="19">
                  <c:v>62</c:v>
                </c:pt>
                <c:pt idx="20">
                  <c:v>38</c:v>
                </c:pt>
                <c:pt idx="21">
                  <c:v>37</c:v>
                </c:pt>
                <c:pt idx="22">
                  <c:v>54</c:v>
                </c:pt>
                <c:pt idx="23">
                  <c:v>49</c:v>
                </c:pt>
                <c:pt idx="24">
                  <c:v>60</c:v>
                </c:pt>
                <c:pt idx="25">
                  <c:v>38</c:v>
                </c:pt>
                <c:pt idx="26">
                  <c:v>67</c:v>
                </c:pt>
                <c:pt idx="27">
                  <c:v>45</c:v>
                </c:pt>
                <c:pt idx="28">
                  <c:v>25</c:v>
                </c:pt>
                <c:pt idx="29">
                  <c:v>27</c:v>
                </c:pt>
                <c:pt idx="30">
                  <c:v>56</c:v>
                </c:pt>
                <c:pt idx="31">
                  <c:v>37</c:v>
                </c:pt>
                <c:pt idx="32">
                  <c:v>48</c:v>
                </c:pt>
                <c:pt idx="33">
                  <c:v>-45</c:v>
                </c:pt>
                <c:pt idx="34">
                  <c:v>-44</c:v>
                </c:pt>
                <c:pt idx="35">
                  <c:v>-39</c:v>
                </c:pt>
                <c:pt idx="36">
                  <c:v>-42</c:v>
                </c:pt>
                <c:pt idx="37">
                  <c:v>-40</c:v>
                </c:pt>
                <c:pt idx="38">
                  <c:v>-43</c:v>
                </c:pt>
                <c:pt idx="39">
                  <c:v>-41</c:v>
                </c:pt>
                <c:pt idx="40">
                  <c:v>-47</c:v>
                </c:pt>
                <c:pt idx="41">
                  <c:v>-40</c:v>
                </c:pt>
                <c:pt idx="42">
                  <c:v>-39</c:v>
                </c:pt>
                <c:pt idx="43">
                  <c:v>-36</c:v>
                </c:pt>
                <c:pt idx="44">
                  <c:v>-41</c:v>
                </c:pt>
                <c:pt idx="45">
                  <c:v>-43</c:v>
                </c:pt>
                <c:pt idx="46">
                  <c:v>-40</c:v>
                </c:pt>
                <c:pt idx="47">
                  <c:v>-45</c:v>
                </c:pt>
                <c:pt idx="48">
                  <c:v>-44</c:v>
                </c:pt>
                <c:pt idx="49">
                  <c:v>-41</c:v>
                </c:pt>
                <c:pt idx="50">
                  <c:v>-43</c:v>
                </c:pt>
                <c:pt idx="51">
                  <c:v>-41</c:v>
                </c:pt>
                <c:pt idx="52">
                  <c:v>-43</c:v>
                </c:pt>
                <c:pt idx="53">
                  <c:v>-42</c:v>
                </c:pt>
                <c:pt idx="54">
                  <c:v>-41</c:v>
                </c:pt>
                <c:pt idx="55">
                  <c:v>-35</c:v>
                </c:pt>
                <c:pt idx="56">
                  <c:v>-40</c:v>
                </c:pt>
                <c:pt idx="57">
                  <c:v>-44</c:v>
                </c:pt>
                <c:pt idx="58">
                  <c:v>-45</c:v>
                </c:pt>
                <c:pt idx="59">
                  <c:v>-44</c:v>
                </c:pt>
                <c:pt idx="60">
                  <c:v>-45</c:v>
                </c:pt>
                <c:pt idx="61">
                  <c:v>-47</c:v>
                </c:pt>
                <c:pt idx="62">
                  <c:v>-43</c:v>
                </c:pt>
                <c:pt idx="63">
                  <c:v>-39</c:v>
                </c:pt>
                <c:pt idx="64">
                  <c:v>-48</c:v>
                </c:pt>
                <c:pt idx="65">
                  <c:v>-44</c:v>
                </c:pt>
                <c:pt idx="66">
                  <c:v>15</c:v>
                </c:pt>
                <c:pt idx="67">
                  <c:v>27</c:v>
                </c:pt>
                <c:pt idx="68">
                  <c:v>18</c:v>
                </c:pt>
                <c:pt idx="69">
                  <c:v>15</c:v>
                </c:pt>
                <c:pt idx="70">
                  <c:v>20</c:v>
                </c:pt>
                <c:pt idx="71">
                  <c:v>20</c:v>
                </c:pt>
                <c:pt idx="72">
                  <c:v>18</c:v>
                </c:pt>
                <c:pt idx="73">
                  <c:v>56</c:v>
                </c:pt>
                <c:pt idx="74">
                  <c:v>6</c:v>
                </c:pt>
                <c:pt idx="75">
                  <c:v>44</c:v>
                </c:pt>
                <c:pt idx="76">
                  <c:v>7</c:v>
                </c:pt>
                <c:pt idx="77">
                  <c:v>20</c:v>
                </c:pt>
                <c:pt idx="78">
                  <c:v>24</c:v>
                </c:pt>
                <c:pt idx="79">
                  <c:v>-15</c:v>
                </c:pt>
                <c:pt idx="80">
                  <c:v>12</c:v>
                </c:pt>
                <c:pt idx="81">
                  <c:v>20</c:v>
                </c:pt>
                <c:pt idx="82">
                  <c:v>14</c:v>
                </c:pt>
                <c:pt idx="83">
                  <c:v>44</c:v>
                </c:pt>
                <c:pt idx="84">
                  <c:v>12</c:v>
                </c:pt>
                <c:pt idx="85">
                  <c:v>20</c:v>
                </c:pt>
                <c:pt idx="86">
                  <c:v>17</c:v>
                </c:pt>
                <c:pt idx="87">
                  <c:v>18</c:v>
                </c:pt>
                <c:pt idx="88">
                  <c:v>44</c:v>
                </c:pt>
                <c:pt idx="89">
                  <c:v>20</c:v>
                </c:pt>
                <c:pt idx="90">
                  <c:v>16</c:v>
                </c:pt>
                <c:pt idx="91">
                  <c:v>19</c:v>
                </c:pt>
                <c:pt idx="92">
                  <c:v>20</c:v>
                </c:pt>
                <c:pt idx="93">
                  <c:v>58</c:v>
                </c:pt>
                <c:pt idx="94">
                  <c:v>19</c:v>
                </c:pt>
                <c:pt idx="95">
                  <c:v>-7</c:v>
                </c:pt>
                <c:pt idx="96">
                  <c:v>46</c:v>
                </c:pt>
                <c:pt idx="97">
                  <c:v>-17</c:v>
                </c:pt>
                <c:pt idx="98">
                  <c:v>25</c:v>
                </c:pt>
                <c:pt idx="99">
                  <c:v>-14</c:v>
                </c:pt>
                <c:pt idx="100">
                  <c:v>-8</c:v>
                </c:pt>
                <c:pt idx="101">
                  <c:v>-7</c:v>
                </c:pt>
                <c:pt idx="102">
                  <c:v>-10</c:v>
                </c:pt>
                <c:pt idx="103">
                  <c:v>-9</c:v>
                </c:pt>
                <c:pt idx="104">
                  <c:v>-9</c:v>
                </c:pt>
                <c:pt idx="105">
                  <c:v>-9</c:v>
                </c:pt>
                <c:pt idx="106">
                  <c:v>-16</c:v>
                </c:pt>
                <c:pt idx="107">
                  <c:v>-10</c:v>
                </c:pt>
                <c:pt idx="108">
                  <c:v>-10</c:v>
                </c:pt>
                <c:pt idx="109">
                  <c:v>-7</c:v>
                </c:pt>
                <c:pt idx="110">
                  <c:v>-11</c:v>
                </c:pt>
                <c:pt idx="111">
                  <c:v>-12</c:v>
                </c:pt>
                <c:pt idx="112">
                  <c:v>-10</c:v>
                </c:pt>
                <c:pt idx="113">
                  <c:v>-15</c:v>
                </c:pt>
                <c:pt idx="114">
                  <c:v>-11</c:v>
                </c:pt>
                <c:pt idx="115">
                  <c:v>-8</c:v>
                </c:pt>
                <c:pt idx="116">
                  <c:v>-12</c:v>
                </c:pt>
                <c:pt idx="117">
                  <c:v>-10</c:v>
                </c:pt>
                <c:pt idx="118">
                  <c:v>-14</c:v>
                </c:pt>
                <c:pt idx="119">
                  <c:v>-10</c:v>
                </c:pt>
                <c:pt idx="120">
                  <c:v>-11</c:v>
                </c:pt>
                <c:pt idx="121">
                  <c:v>-5</c:v>
                </c:pt>
                <c:pt idx="122">
                  <c:v>-8</c:v>
                </c:pt>
                <c:pt idx="123">
                  <c:v>-13</c:v>
                </c:pt>
                <c:pt idx="124">
                  <c:v>-12</c:v>
                </c:pt>
                <c:pt idx="125">
                  <c:v>-14</c:v>
                </c:pt>
                <c:pt idx="126">
                  <c:v>-12</c:v>
                </c:pt>
                <c:pt idx="127">
                  <c:v>-15</c:v>
                </c:pt>
                <c:pt idx="128">
                  <c:v>-13</c:v>
                </c:pt>
                <c:pt idx="129">
                  <c:v>-9</c:v>
                </c:pt>
                <c:pt idx="130">
                  <c:v>-14</c:v>
                </c:pt>
                <c:pt idx="131">
                  <c:v>-10</c:v>
                </c:pt>
                <c:pt idx="132">
                  <c:v>43</c:v>
                </c:pt>
                <c:pt idx="133">
                  <c:v>44</c:v>
                </c:pt>
                <c:pt idx="134">
                  <c:v>43</c:v>
                </c:pt>
                <c:pt idx="135">
                  <c:v>45</c:v>
                </c:pt>
                <c:pt idx="136">
                  <c:v>45</c:v>
                </c:pt>
                <c:pt idx="137">
                  <c:v>43</c:v>
                </c:pt>
                <c:pt idx="138">
                  <c:v>44</c:v>
                </c:pt>
                <c:pt idx="139">
                  <c:v>44</c:v>
                </c:pt>
                <c:pt idx="140">
                  <c:v>24</c:v>
                </c:pt>
                <c:pt idx="141">
                  <c:v>46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43</c:v>
                </c:pt>
                <c:pt idx="146">
                  <c:v>44</c:v>
                </c:pt>
                <c:pt idx="147">
                  <c:v>44</c:v>
                </c:pt>
                <c:pt idx="148">
                  <c:v>43</c:v>
                </c:pt>
                <c:pt idx="149">
                  <c:v>43</c:v>
                </c:pt>
                <c:pt idx="150">
                  <c:v>44</c:v>
                </c:pt>
                <c:pt idx="151">
                  <c:v>44</c:v>
                </c:pt>
                <c:pt idx="152">
                  <c:v>45</c:v>
                </c:pt>
                <c:pt idx="153">
                  <c:v>43</c:v>
                </c:pt>
                <c:pt idx="154">
                  <c:v>42</c:v>
                </c:pt>
                <c:pt idx="155">
                  <c:v>42</c:v>
                </c:pt>
                <c:pt idx="156">
                  <c:v>43</c:v>
                </c:pt>
                <c:pt idx="157">
                  <c:v>44</c:v>
                </c:pt>
                <c:pt idx="158">
                  <c:v>45</c:v>
                </c:pt>
                <c:pt idx="159">
                  <c:v>45</c:v>
                </c:pt>
                <c:pt idx="160">
                  <c:v>43</c:v>
                </c:pt>
                <c:pt idx="161">
                  <c:v>44</c:v>
                </c:pt>
                <c:pt idx="162">
                  <c:v>-41</c:v>
                </c:pt>
                <c:pt idx="163">
                  <c:v>-41</c:v>
                </c:pt>
                <c:pt idx="164">
                  <c:v>-46</c:v>
                </c:pt>
                <c:pt idx="165">
                  <c:v>-43</c:v>
                </c:pt>
                <c:pt idx="166">
                  <c:v>-42</c:v>
                </c:pt>
                <c:pt idx="167">
                  <c:v>-45</c:v>
                </c:pt>
                <c:pt idx="168">
                  <c:v>-42</c:v>
                </c:pt>
                <c:pt idx="169">
                  <c:v>-46</c:v>
                </c:pt>
                <c:pt idx="170">
                  <c:v>-43</c:v>
                </c:pt>
                <c:pt idx="171">
                  <c:v>-40</c:v>
                </c:pt>
                <c:pt idx="172">
                  <c:v>-46</c:v>
                </c:pt>
                <c:pt idx="173">
                  <c:v>-45</c:v>
                </c:pt>
                <c:pt idx="174">
                  <c:v>-44</c:v>
                </c:pt>
                <c:pt idx="175">
                  <c:v>-44</c:v>
                </c:pt>
                <c:pt idx="176">
                  <c:v>-47</c:v>
                </c:pt>
                <c:pt idx="177">
                  <c:v>-41</c:v>
                </c:pt>
                <c:pt idx="178">
                  <c:v>-46</c:v>
                </c:pt>
                <c:pt idx="179">
                  <c:v>-43</c:v>
                </c:pt>
                <c:pt idx="180">
                  <c:v>-38</c:v>
                </c:pt>
                <c:pt idx="181">
                  <c:v>-41</c:v>
                </c:pt>
                <c:pt idx="182">
                  <c:v>-40</c:v>
                </c:pt>
                <c:pt idx="183">
                  <c:v>-42</c:v>
                </c:pt>
                <c:pt idx="184">
                  <c:v>-43</c:v>
                </c:pt>
                <c:pt idx="185">
                  <c:v>-44</c:v>
                </c:pt>
                <c:pt idx="186">
                  <c:v>-45</c:v>
                </c:pt>
                <c:pt idx="187">
                  <c:v>-46</c:v>
                </c:pt>
                <c:pt idx="188">
                  <c:v>-40</c:v>
                </c:pt>
                <c:pt idx="189">
                  <c:v>-45</c:v>
                </c:pt>
                <c:pt idx="190">
                  <c:v>-41</c:v>
                </c:pt>
                <c:pt idx="191">
                  <c:v>-38</c:v>
                </c:pt>
                <c:pt idx="192">
                  <c:v>17</c:v>
                </c:pt>
                <c:pt idx="193">
                  <c:v>12</c:v>
                </c:pt>
                <c:pt idx="194">
                  <c:v>15</c:v>
                </c:pt>
                <c:pt idx="195">
                  <c:v>15</c:v>
                </c:pt>
                <c:pt idx="196">
                  <c:v>16</c:v>
                </c:pt>
                <c:pt idx="197">
                  <c:v>14</c:v>
                </c:pt>
                <c:pt idx="198">
                  <c:v>15</c:v>
                </c:pt>
                <c:pt idx="199">
                  <c:v>15</c:v>
                </c:pt>
                <c:pt idx="200">
                  <c:v>-8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16</c:v>
                </c:pt>
                <c:pt idx="205">
                  <c:v>14</c:v>
                </c:pt>
                <c:pt idx="206">
                  <c:v>14</c:v>
                </c:pt>
                <c:pt idx="207">
                  <c:v>14</c:v>
                </c:pt>
                <c:pt idx="208">
                  <c:v>14</c:v>
                </c:pt>
                <c:pt idx="209">
                  <c:v>15</c:v>
                </c:pt>
                <c:pt idx="210">
                  <c:v>14</c:v>
                </c:pt>
                <c:pt idx="211">
                  <c:v>13</c:v>
                </c:pt>
                <c:pt idx="212">
                  <c:v>14</c:v>
                </c:pt>
                <c:pt idx="213">
                  <c:v>15</c:v>
                </c:pt>
                <c:pt idx="214">
                  <c:v>15</c:v>
                </c:pt>
                <c:pt idx="215">
                  <c:v>16</c:v>
                </c:pt>
                <c:pt idx="216">
                  <c:v>15</c:v>
                </c:pt>
                <c:pt idx="217">
                  <c:v>16</c:v>
                </c:pt>
                <c:pt idx="218">
                  <c:v>15</c:v>
                </c:pt>
                <c:pt idx="219">
                  <c:v>17</c:v>
                </c:pt>
                <c:pt idx="220">
                  <c:v>15</c:v>
                </c:pt>
                <c:pt idx="221">
                  <c:v>13</c:v>
                </c:pt>
                <c:pt idx="222">
                  <c:v>-11</c:v>
                </c:pt>
                <c:pt idx="223">
                  <c:v>-11</c:v>
                </c:pt>
                <c:pt idx="224">
                  <c:v>-16</c:v>
                </c:pt>
                <c:pt idx="225">
                  <c:v>-13</c:v>
                </c:pt>
                <c:pt idx="226">
                  <c:v>-13</c:v>
                </c:pt>
                <c:pt idx="227">
                  <c:v>-14</c:v>
                </c:pt>
                <c:pt idx="228">
                  <c:v>-12</c:v>
                </c:pt>
                <c:pt idx="229">
                  <c:v>-17</c:v>
                </c:pt>
                <c:pt idx="230">
                  <c:v>-11</c:v>
                </c:pt>
                <c:pt idx="231">
                  <c:v>-9</c:v>
                </c:pt>
                <c:pt idx="232">
                  <c:v>-13</c:v>
                </c:pt>
                <c:pt idx="233">
                  <c:v>-14</c:v>
                </c:pt>
                <c:pt idx="234">
                  <c:v>-14</c:v>
                </c:pt>
                <c:pt idx="235">
                  <c:v>-14</c:v>
                </c:pt>
                <c:pt idx="236">
                  <c:v>-15</c:v>
                </c:pt>
                <c:pt idx="237">
                  <c:v>-11</c:v>
                </c:pt>
                <c:pt idx="238">
                  <c:v>-13</c:v>
                </c:pt>
                <c:pt idx="239">
                  <c:v>-11</c:v>
                </c:pt>
                <c:pt idx="240">
                  <c:v>-7</c:v>
                </c:pt>
                <c:pt idx="241">
                  <c:v>-11</c:v>
                </c:pt>
                <c:pt idx="242">
                  <c:v>-10</c:v>
                </c:pt>
                <c:pt idx="243">
                  <c:v>-12</c:v>
                </c:pt>
                <c:pt idx="244">
                  <c:v>-14</c:v>
                </c:pt>
                <c:pt idx="245">
                  <c:v>-13</c:v>
                </c:pt>
                <c:pt idx="246">
                  <c:v>-15</c:v>
                </c:pt>
                <c:pt idx="247">
                  <c:v>-14</c:v>
                </c:pt>
                <c:pt idx="248">
                  <c:v>-10</c:v>
                </c:pt>
                <c:pt idx="249">
                  <c:v>-16</c:v>
                </c:pt>
                <c:pt idx="250">
                  <c:v>-9</c:v>
                </c:pt>
                <c:pt idx="251">
                  <c:v>-9</c:v>
                </c:pt>
                <c:pt idx="252">
                  <c:v>46</c:v>
                </c:pt>
                <c:pt idx="253">
                  <c:v>48</c:v>
                </c:pt>
                <c:pt idx="254">
                  <c:v>42</c:v>
                </c:pt>
                <c:pt idx="255">
                  <c:v>40</c:v>
                </c:pt>
                <c:pt idx="256">
                  <c:v>38</c:v>
                </c:pt>
                <c:pt idx="257">
                  <c:v>45</c:v>
                </c:pt>
                <c:pt idx="258">
                  <c:v>41</c:v>
                </c:pt>
                <c:pt idx="259">
                  <c:v>41</c:v>
                </c:pt>
                <c:pt idx="260">
                  <c:v>44</c:v>
                </c:pt>
                <c:pt idx="261">
                  <c:v>39</c:v>
                </c:pt>
                <c:pt idx="262">
                  <c:v>39</c:v>
                </c:pt>
                <c:pt idx="263">
                  <c:v>41</c:v>
                </c:pt>
                <c:pt idx="264">
                  <c:v>46</c:v>
                </c:pt>
                <c:pt idx="265">
                  <c:v>39</c:v>
                </c:pt>
                <c:pt idx="266">
                  <c:v>39</c:v>
                </c:pt>
                <c:pt idx="267">
                  <c:v>40</c:v>
                </c:pt>
                <c:pt idx="268">
                  <c:v>35</c:v>
                </c:pt>
                <c:pt idx="269">
                  <c:v>43</c:v>
                </c:pt>
                <c:pt idx="270">
                  <c:v>41</c:v>
                </c:pt>
                <c:pt idx="271">
                  <c:v>52</c:v>
                </c:pt>
                <c:pt idx="272">
                  <c:v>44</c:v>
                </c:pt>
                <c:pt idx="273">
                  <c:v>36</c:v>
                </c:pt>
                <c:pt idx="274">
                  <c:v>41</c:v>
                </c:pt>
                <c:pt idx="275">
                  <c:v>45</c:v>
                </c:pt>
                <c:pt idx="276">
                  <c:v>36</c:v>
                </c:pt>
                <c:pt idx="277">
                  <c:v>45</c:v>
                </c:pt>
                <c:pt idx="278">
                  <c:v>42</c:v>
                </c:pt>
                <c:pt idx="279">
                  <c:v>45</c:v>
                </c:pt>
                <c:pt idx="280">
                  <c:v>50</c:v>
                </c:pt>
                <c:pt idx="281">
                  <c:v>46</c:v>
                </c:pt>
                <c:pt idx="282">
                  <c:v>-41</c:v>
                </c:pt>
                <c:pt idx="283">
                  <c:v>-41</c:v>
                </c:pt>
                <c:pt idx="284">
                  <c:v>-43</c:v>
                </c:pt>
                <c:pt idx="285">
                  <c:v>-45</c:v>
                </c:pt>
                <c:pt idx="286">
                  <c:v>-43</c:v>
                </c:pt>
                <c:pt idx="287">
                  <c:v>-45</c:v>
                </c:pt>
                <c:pt idx="288">
                  <c:v>-44</c:v>
                </c:pt>
                <c:pt idx="289">
                  <c:v>-44</c:v>
                </c:pt>
                <c:pt idx="290">
                  <c:v>-45</c:v>
                </c:pt>
                <c:pt idx="291">
                  <c:v>-43</c:v>
                </c:pt>
                <c:pt idx="292">
                  <c:v>-44</c:v>
                </c:pt>
                <c:pt idx="293">
                  <c:v>-43</c:v>
                </c:pt>
                <c:pt idx="294">
                  <c:v>-43</c:v>
                </c:pt>
                <c:pt idx="295">
                  <c:v>-43</c:v>
                </c:pt>
                <c:pt idx="296">
                  <c:v>-44</c:v>
                </c:pt>
                <c:pt idx="297">
                  <c:v>-41</c:v>
                </c:pt>
                <c:pt idx="298">
                  <c:v>-43</c:v>
                </c:pt>
                <c:pt idx="299">
                  <c:v>-38</c:v>
                </c:pt>
                <c:pt idx="300">
                  <c:v>-43</c:v>
                </c:pt>
                <c:pt idx="301">
                  <c:v>-42</c:v>
                </c:pt>
                <c:pt idx="302">
                  <c:v>-43</c:v>
                </c:pt>
                <c:pt idx="303">
                  <c:v>-42</c:v>
                </c:pt>
                <c:pt idx="304">
                  <c:v>-39</c:v>
                </c:pt>
                <c:pt idx="305">
                  <c:v>-40</c:v>
                </c:pt>
                <c:pt idx="306">
                  <c:v>-45</c:v>
                </c:pt>
                <c:pt idx="307">
                  <c:v>-44</c:v>
                </c:pt>
                <c:pt idx="308">
                  <c:v>-43</c:v>
                </c:pt>
                <c:pt idx="309">
                  <c:v>-44</c:v>
                </c:pt>
                <c:pt idx="310">
                  <c:v>-42</c:v>
                </c:pt>
                <c:pt idx="311">
                  <c:v>-44</c:v>
                </c:pt>
                <c:pt idx="312">
                  <c:v>20</c:v>
                </c:pt>
                <c:pt idx="313">
                  <c:v>13</c:v>
                </c:pt>
                <c:pt idx="314">
                  <c:v>11</c:v>
                </c:pt>
                <c:pt idx="315">
                  <c:v>14</c:v>
                </c:pt>
                <c:pt idx="316">
                  <c:v>15</c:v>
                </c:pt>
                <c:pt idx="317">
                  <c:v>15</c:v>
                </c:pt>
                <c:pt idx="318">
                  <c:v>16</c:v>
                </c:pt>
                <c:pt idx="319">
                  <c:v>18</c:v>
                </c:pt>
                <c:pt idx="320">
                  <c:v>14</c:v>
                </c:pt>
                <c:pt idx="321">
                  <c:v>14</c:v>
                </c:pt>
                <c:pt idx="322">
                  <c:v>16</c:v>
                </c:pt>
                <c:pt idx="323">
                  <c:v>14</c:v>
                </c:pt>
                <c:pt idx="324">
                  <c:v>18</c:v>
                </c:pt>
                <c:pt idx="325">
                  <c:v>15</c:v>
                </c:pt>
                <c:pt idx="326">
                  <c:v>16</c:v>
                </c:pt>
                <c:pt idx="327">
                  <c:v>18</c:v>
                </c:pt>
                <c:pt idx="328">
                  <c:v>13</c:v>
                </c:pt>
                <c:pt idx="329">
                  <c:v>17</c:v>
                </c:pt>
                <c:pt idx="330">
                  <c:v>13</c:v>
                </c:pt>
                <c:pt idx="331">
                  <c:v>19</c:v>
                </c:pt>
                <c:pt idx="332">
                  <c:v>18</c:v>
                </c:pt>
                <c:pt idx="333">
                  <c:v>13</c:v>
                </c:pt>
                <c:pt idx="334">
                  <c:v>16</c:v>
                </c:pt>
                <c:pt idx="335">
                  <c:v>15</c:v>
                </c:pt>
                <c:pt idx="336">
                  <c:v>13</c:v>
                </c:pt>
                <c:pt idx="337">
                  <c:v>19</c:v>
                </c:pt>
                <c:pt idx="338">
                  <c:v>16</c:v>
                </c:pt>
                <c:pt idx="339">
                  <c:v>15</c:v>
                </c:pt>
                <c:pt idx="340">
                  <c:v>13</c:v>
                </c:pt>
                <c:pt idx="341">
                  <c:v>18</c:v>
                </c:pt>
                <c:pt idx="342">
                  <c:v>-11</c:v>
                </c:pt>
                <c:pt idx="343">
                  <c:v>-12</c:v>
                </c:pt>
                <c:pt idx="344">
                  <c:v>-13</c:v>
                </c:pt>
                <c:pt idx="345">
                  <c:v>-15</c:v>
                </c:pt>
                <c:pt idx="346">
                  <c:v>-13</c:v>
                </c:pt>
                <c:pt idx="347">
                  <c:v>-15</c:v>
                </c:pt>
                <c:pt idx="348">
                  <c:v>-14</c:v>
                </c:pt>
                <c:pt idx="349">
                  <c:v>-15</c:v>
                </c:pt>
                <c:pt idx="350">
                  <c:v>-15</c:v>
                </c:pt>
                <c:pt idx="351">
                  <c:v>-14</c:v>
                </c:pt>
                <c:pt idx="352">
                  <c:v>-14</c:v>
                </c:pt>
                <c:pt idx="353">
                  <c:v>-13</c:v>
                </c:pt>
                <c:pt idx="354">
                  <c:v>-15</c:v>
                </c:pt>
                <c:pt idx="355">
                  <c:v>-14</c:v>
                </c:pt>
                <c:pt idx="356">
                  <c:v>-14</c:v>
                </c:pt>
                <c:pt idx="357">
                  <c:v>-14</c:v>
                </c:pt>
                <c:pt idx="358">
                  <c:v>-15</c:v>
                </c:pt>
                <c:pt idx="359">
                  <c:v>-9</c:v>
                </c:pt>
                <c:pt idx="360">
                  <c:v>-14</c:v>
                </c:pt>
                <c:pt idx="361">
                  <c:v>-13</c:v>
                </c:pt>
                <c:pt idx="362">
                  <c:v>-11</c:v>
                </c:pt>
                <c:pt idx="363">
                  <c:v>-12</c:v>
                </c:pt>
                <c:pt idx="364">
                  <c:v>-9</c:v>
                </c:pt>
                <c:pt idx="365">
                  <c:v>-12</c:v>
                </c:pt>
                <c:pt idx="366">
                  <c:v>-17</c:v>
                </c:pt>
                <c:pt idx="367">
                  <c:v>-14</c:v>
                </c:pt>
                <c:pt idx="368">
                  <c:v>-14</c:v>
                </c:pt>
                <c:pt idx="369">
                  <c:v>-15</c:v>
                </c:pt>
                <c:pt idx="370">
                  <c:v>-12</c:v>
                </c:pt>
                <c:pt idx="371">
                  <c:v>-14</c:v>
                </c:pt>
                <c:pt idx="372">
                  <c:v>41</c:v>
                </c:pt>
                <c:pt idx="373">
                  <c:v>39</c:v>
                </c:pt>
                <c:pt idx="374">
                  <c:v>35</c:v>
                </c:pt>
                <c:pt idx="375">
                  <c:v>61</c:v>
                </c:pt>
                <c:pt idx="376">
                  <c:v>43</c:v>
                </c:pt>
                <c:pt idx="377">
                  <c:v>66</c:v>
                </c:pt>
                <c:pt idx="378">
                  <c:v>62</c:v>
                </c:pt>
                <c:pt idx="379">
                  <c:v>38</c:v>
                </c:pt>
                <c:pt idx="380">
                  <c:v>63</c:v>
                </c:pt>
                <c:pt idx="381">
                  <c:v>61</c:v>
                </c:pt>
                <c:pt idx="382">
                  <c:v>40</c:v>
                </c:pt>
                <c:pt idx="383">
                  <c:v>39</c:v>
                </c:pt>
                <c:pt idx="384">
                  <c:v>57</c:v>
                </c:pt>
                <c:pt idx="385">
                  <c:v>39</c:v>
                </c:pt>
                <c:pt idx="386">
                  <c:v>39</c:v>
                </c:pt>
                <c:pt idx="387">
                  <c:v>36</c:v>
                </c:pt>
                <c:pt idx="388">
                  <c:v>41</c:v>
                </c:pt>
                <c:pt idx="389">
                  <c:v>37</c:v>
                </c:pt>
                <c:pt idx="390">
                  <c:v>-40</c:v>
                </c:pt>
                <c:pt idx="391">
                  <c:v>-42</c:v>
                </c:pt>
                <c:pt idx="392">
                  <c:v>-41</c:v>
                </c:pt>
                <c:pt idx="393">
                  <c:v>-38</c:v>
                </c:pt>
                <c:pt idx="394">
                  <c:v>-38</c:v>
                </c:pt>
                <c:pt idx="395">
                  <c:v>-39</c:v>
                </c:pt>
                <c:pt idx="396">
                  <c:v>-40</c:v>
                </c:pt>
                <c:pt idx="397">
                  <c:v>-44</c:v>
                </c:pt>
                <c:pt idx="398">
                  <c:v>-40</c:v>
                </c:pt>
                <c:pt idx="399">
                  <c:v>-39</c:v>
                </c:pt>
                <c:pt idx="400">
                  <c:v>-40</c:v>
                </c:pt>
                <c:pt idx="401">
                  <c:v>-41</c:v>
                </c:pt>
                <c:pt idx="402">
                  <c:v>-41</c:v>
                </c:pt>
                <c:pt idx="403">
                  <c:v>-43</c:v>
                </c:pt>
                <c:pt idx="404">
                  <c:v>-41</c:v>
                </c:pt>
                <c:pt idx="405">
                  <c:v>-41</c:v>
                </c:pt>
                <c:pt idx="406">
                  <c:v>-41</c:v>
                </c:pt>
                <c:pt idx="407">
                  <c:v>-38</c:v>
                </c:pt>
                <c:pt idx="408">
                  <c:v>13</c:v>
                </c:pt>
                <c:pt idx="409">
                  <c:v>14</c:v>
                </c:pt>
                <c:pt idx="410">
                  <c:v>8</c:v>
                </c:pt>
                <c:pt idx="411">
                  <c:v>13</c:v>
                </c:pt>
                <c:pt idx="412">
                  <c:v>15</c:v>
                </c:pt>
                <c:pt idx="413">
                  <c:v>38</c:v>
                </c:pt>
                <c:pt idx="414">
                  <c:v>12</c:v>
                </c:pt>
                <c:pt idx="415">
                  <c:v>14</c:v>
                </c:pt>
                <c:pt idx="416">
                  <c:v>11</c:v>
                </c:pt>
                <c:pt idx="417">
                  <c:v>13</c:v>
                </c:pt>
                <c:pt idx="418">
                  <c:v>15</c:v>
                </c:pt>
                <c:pt idx="419">
                  <c:v>12</c:v>
                </c:pt>
                <c:pt idx="420">
                  <c:v>11</c:v>
                </c:pt>
                <c:pt idx="421">
                  <c:v>12</c:v>
                </c:pt>
                <c:pt idx="422">
                  <c:v>13</c:v>
                </c:pt>
                <c:pt idx="423">
                  <c:v>11</c:v>
                </c:pt>
                <c:pt idx="424">
                  <c:v>17</c:v>
                </c:pt>
                <c:pt idx="425">
                  <c:v>11</c:v>
                </c:pt>
                <c:pt idx="426">
                  <c:v>-10</c:v>
                </c:pt>
                <c:pt idx="427">
                  <c:v>-12</c:v>
                </c:pt>
                <c:pt idx="428">
                  <c:v>-11</c:v>
                </c:pt>
                <c:pt idx="429">
                  <c:v>-9</c:v>
                </c:pt>
                <c:pt idx="430">
                  <c:v>-8</c:v>
                </c:pt>
                <c:pt idx="431">
                  <c:v>-10</c:v>
                </c:pt>
                <c:pt idx="432">
                  <c:v>-8</c:v>
                </c:pt>
                <c:pt idx="433">
                  <c:v>-14</c:v>
                </c:pt>
                <c:pt idx="434">
                  <c:v>-10</c:v>
                </c:pt>
                <c:pt idx="435">
                  <c:v>-10</c:v>
                </c:pt>
                <c:pt idx="436">
                  <c:v>-12</c:v>
                </c:pt>
                <c:pt idx="437">
                  <c:v>-11</c:v>
                </c:pt>
                <c:pt idx="438">
                  <c:v>-12</c:v>
                </c:pt>
                <c:pt idx="439">
                  <c:v>-12</c:v>
                </c:pt>
                <c:pt idx="440">
                  <c:v>-10</c:v>
                </c:pt>
                <c:pt idx="441">
                  <c:v>-11</c:v>
                </c:pt>
                <c:pt idx="442">
                  <c:v>-11</c:v>
                </c:pt>
                <c:pt idx="443">
                  <c:v>-9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03648"/>
        <c:axId val="192404800"/>
      </c:scatterChart>
      <c:valAx>
        <c:axId val="192403648"/>
        <c:scaling>
          <c:orientation val="minMax"/>
        </c:scaling>
        <c:delete val="0"/>
        <c:axPos val="b"/>
        <c:majorTickMark val="out"/>
        <c:minorTickMark val="none"/>
        <c:tickLblPos val="low"/>
        <c:crossAx val="192404800"/>
        <c:crosses val="autoZero"/>
        <c:crossBetween val="midCat"/>
      </c:valAx>
      <c:valAx>
        <c:axId val="19240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40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6</xdr:row>
      <xdr:rowOff>152400</xdr:rowOff>
    </xdr:from>
    <xdr:to>
      <xdr:col>20</xdr:col>
      <xdr:colOff>485775</xdr:colOff>
      <xdr:row>20</xdr:row>
      <xdr:rowOff>169344</xdr:rowOff>
    </xdr:to>
    <xdr:pic>
      <xdr:nvPicPr>
        <xdr:cNvPr id="74" name="圖片 73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E5ECF6"/>
            </a:clrFrom>
            <a:clrTo>
              <a:srgbClr val="E5ECF6">
                <a:alpha val="0"/>
              </a:srgbClr>
            </a:clrTo>
          </a:clrChange>
        </a:blip>
        <a:stretch>
          <a:fillRect/>
        </a:stretch>
      </xdr:blipFill>
      <xdr:spPr>
        <a:xfrm>
          <a:off x="5402916" y="1429871"/>
          <a:ext cx="7185212" cy="2997708"/>
        </a:xfrm>
        <a:prstGeom prst="rect">
          <a:avLst/>
        </a:prstGeom>
      </xdr:spPr>
    </xdr:pic>
    <xdr:clientData/>
  </xdr:twoCellAnchor>
  <xdr:twoCellAnchor>
    <xdr:from>
      <xdr:col>8</xdr:col>
      <xdr:colOff>192181</xdr:colOff>
      <xdr:row>64</xdr:row>
      <xdr:rowOff>98052</xdr:rowOff>
    </xdr:from>
    <xdr:to>
      <xdr:col>20</xdr:col>
      <xdr:colOff>582705</xdr:colOff>
      <xdr:row>78</xdr:row>
      <xdr:rowOff>63313</xdr:rowOff>
    </xdr:to>
    <xdr:grpSp>
      <xdr:nvGrpSpPr>
        <xdr:cNvPr id="2" name="群組 1" hidden="1"/>
        <xdr:cNvGrpSpPr/>
      </xdr:nvGrpSpPr>
      <xdr:grpSpPr>
        <a:xfrm>
          <a:off x="5068981" y="13509252"/>
          <a:ext cx="7705724" cy="2898961"/>
          <a:chOff x="8486775" y="2222500"/>
          <a:chExt cx="6389929" cy="2129976"/>
        </a:xfrm>
      </xdr:grpSpPr>
      <xdr:pic>
        <xdr:nvPicPr>
          <xdr:cNvPr id="3" name="圖片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486775" y="2222500"/>
            <a:ext cx="6389929" cy="2129976"/>
          </a:xfrm>
          <a:prstGeom prst="rect">
            <a:avLst/>
          </a:prstGeom>
        </xdr:spPr>
      </xdr:pic>
      <xdr:sp macro="" textlink="">
        <xdr:nvSpPr>
          <xdr:cNvPr id="4" name="橢圓 3"/>
          <xdr:cNvSpPr/>
        </xdr:nvSpPr>
        <xdr:spPr>
          <a:xfrm>
            <a:off x="11107340" y="4048124"/>
            <a:ext cx="72000" cy="72000"/>
          </a:xfrm>
          <a:prstGeom prst="ellipse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5" name="橢圓 4"/>
          <xdr:cNvSpPr/>
        </xdr:nvSpPr>
        <xdr:spPr>
          <a:xfrm>
            <a:off x="12545615" y="4048124"/>
            <a:ext cx="72000" cy="72000"/>
          </a:xfrm>
          <a:prstGeom prst="ellipse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6" name="橢圓 5"/>
          <xdr:cNvSpPr/>
        </xdr:nvSpPr>
        <xdr:spPr>
          <a:xfrm>
            <a:off x="12840890" y="4010024"/>
            <a:ext cx="72000" cy="72000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7" name="橢圓 6"/>
          <xdr:cNvSpPr/>
        </xdr:nvSpPr>
        <xdr:spPr>
          <a:xfrm>
            <a:off x="13484863" y="4260159"/>
            <a:ext cx="72000" cy="72000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417129</xdr:colOff>
      <xdr:row>12</xdr:row>
      <xdr:rowOff>152009</xdr:rowOff>
    </xdr:to>
    <xdr:grpSp>
      <xdr:nvGrpSpPr>
        <xdr:cNvPr id="12" name="群組 11"/>
        <xdr:cNvGrpSpPr/>
      </xdr:nvGrpSpPr>
      <xdr:grpSpPr>
        <a:xfrm>
          <a:off x="0" y="0"/>
          <a:ext cx="4684329" cy="2666609"/>
          <a:chOff x="-219114" y="-49764"/>
          <a:chExt cx="4684329" cy="2666609"/>
        </a:xfrm>
      </xdr:grpSpPr>
      <xdr:pic>
        <xdr:nvPicPr>
          <xdr:cNvPr id="13" name="Picture 4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clrChange>
              <a:clrFrom>
                <a:srgbClr val="E5ECF6"/>
              </a:clrFrom>
              <a:clrTo>
                <a:srgbClr val="E5EC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497" r="17669"/>
          <a:stretch/>
        </xdr:blipFill>
        <xdr:spPr bwMode="auto">
          <a:xfrm>
            <a:off x="542043" y="376237"/>
            <a:ext cx="3923172" cy="219551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4" name="文字方塊 19"/>
          <xdr:cNvSpPr txBox="1"/>
        </xdr:nvSpPr>
        <xdr:spPr>
          <a:xfrm>
            <a:off x="-219114" y="316095"/>
            <a:ext cx="864096" cy="2300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zh-TW"/>
            </a:defPPr>
            <a:lvl1pPr marL="0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1142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02306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53452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04606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55766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06913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158056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09208" algn="l" defTabSz="902306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1600" i="1">
                <a:solidFill>
                  <a:srgbClr val="0000FF"/>
                </a:solidFill>
                <a:latin typeface="Britannic Bold" panose="020B0903060703020204" pitchFamily="34" charset="0"/>
              </a:rPr>
              <a:t>X</a:t>
            </a:r>
          </a:p>
          <a:p>
            <a:pPr algn="ctr"/>
            <a:endParaRPr lang="en-US" altLang="zh-TW" sz="1600" i="1">
              <a:solidFill>
                <a:srgbClr val="0000FF"/>
              </a:solidFill>
              <a:latin typeface="Britannic Bold" panose="020B0903060703020204" pitchFamily="34" charset="0"/>
            </a:endParaRPr>
          </a:p>
          <a:p>
            <a:pPr algn="ctr"/>
            <a:r>
              <a:rPr lang="en-US" altLang="zh-TW" sz="1600" i="1">
                <a:solidFill>
                  <a:srgbClr val="0000FF"/>
                </a:solidFill>
                <a:latin typeface="Britannic Bold" panose="020B0903060703020204" pitchFamily="34" charset="0"/>
              </a:rPr>
              <a:t>Y</a:t>
            </a:r>
          </a:p>
          <a:p>
            <a:pPr algn="ctr"/>
            <a:endParaRPr lang="en-US" altLang="zh-TW" sz="1600" i="1">
              <a:solidFill>
                <a:srgbClr val="0000FF"/>
              </a:solidFill>
              <a:latin typeface="Britannic Bold" panose="020B0903060703020204" pitchFamily="34" charset="0"/>
            </a:endParaRPr>
          </a:p>
          <a:p>
            <a:pPr algn="ctr"/>
            <a:r>
              <a:rPr lang="en-US" altLang="zh-TW" sz="1600" i="1">
                <a:solidFill>
                  <a:srgbClr val="0000FF"/>
                </a:solidFill>
                <a:latin typeface="Britannic Bold" panose="020B0903060703020204" pitchFamily="34" charset="0"/>
              </a:rPr>
              <a:t>Z</a:t>
            </a:r>
          </a:p>
          <a:p>
            <a:pPr algn="ctr"/>
            <a:endParaRPr lang="en-US" altLang="zh-TW" sz="1600" i="1">
              <a:solidFill>
                <a:srgbClr val="0000FF"/>
              </a:solidFill>
              <a:latin typeface="Britannic Bold" panose="020B0903060703020204" pitchFamily="34" charset="0"/>
            </a:endParaRPr>
          </a:p>
          <a:p>
            <a:pPr algn="ctr"/>
            <a:r>
              <a:rPr lang="en-US" altLang="zh-TW" sz="1600" i="1">
                <a:solidFill>
                  <a:srgbClr val="0000FF"/>
                </a:solidFill>
                <a:latin typeface="Britannic Bold" panose="020B0903060703020204" pitchFamily="34" charset="0"/>
              </a:rPr>
              <a:t>Piezo</a:t>
            </a:r>
          </a:p>
        </xdr:txBody>
      </xdr:sp>
      <xdr:grpSp>
        <xdr:nvGrpSpPr>
          <xdr:cNvPr id="15" name="群組 14"/>
          <xdr:cNvGrpSpPr/>
        </xdr:nvGrpSpPr>
        <xdr:grpSpPr>
          <a:xfrm>
            <a:off x="542043" y="-49764"/>
            <a:ext cx="3859958" cy="2549506"/>
            <a:chOff x="542043" y="-49764"/>
            <a:chExt cx="3859958" cy="2549506"/>
          </a:xfrm>
        </xdr:grpSpPr>
        <xdr:sp macro="" textlink="">
          <xdr:nvSpPr>
            <xdr:cNvPr id="16" name="矩形 15"/>
            <xdr:cNvSpPr/>
          </xdr:nvSpPr>
          <xdr:spPr>
            <a:xfrm>
              <a:off x="542043" y="376237"/>
              <a:ext cx="1072692" cy="2123505"/>
            </a:xfrm>
            <a:prstGeom prst="rect">
              <a:avLst/>
            </a:prstGeom>
            <a:solidFill>
              <a:srgbClr val="FFC000">
                <a:alpha val="23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TW" altLang="en-US"/>
            </a:p>
          </xdr:txBody>
        </xdr:sp>
        <xdr:sp macro="" textlink="">
          <xdr:nvSpPr>
            <xdr:cNvPr id="17" name="矩形 16"/>
            <xdr:cNvSpPr/>
          </xdr:nvSpPr>
          <xdr:spPr>
            <a:xfrm>
              <a:off x="1614735" y="376237"/>
              <a:ext cx="648000" cy="2123505"/>
            </a:xfrm>
            <a:prstGeom prst="rect">
              <a:avLst/>
            </a:prstGeom>
            <a:solidFill>
              <a:srgbClr val="00B0F0">
                <a:alpha val="23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TW" altLang="en-US"/>
            </a:p>
          </xdr:txBody>
        </xdr:sp>
        <xdr:sp macro="" textlink="">
          <xdr:nvSpPr>
            <xdr:cNvPr id="18" name="矩形 17"/>
            <xdr:cNvSpPr/>
          </xdr:nvSpPr>
          <xdr:spPr>
            <a:xfrm>
              <a:off x="2262736" y="376237"/>
              <a:ext cx="1188000" cy="2123505"/>
            </a:xfrm>
            <a:prstGeom prst="rect">
              <a:avLst/>
            </a:prstGeom>
            <a:solidFill>
              <a:srgbClr val="FFC000">
                <a:alpha val="23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TW" altLang="en-US"/>
            </a:p>
          </xdr:txBody>
        </xdr:sp>
        <xdr:sp macro="" textlink="">
          <xdr:nvSpPr>
            <xdr:cNvPr id="19" name="矩形 18"/>
            <xdr:cNvSpPr/>
          </xdr:nvSpPr>
          <xdr:spPr>
            <a:xfrm>
              <a:off x="3451653" y="376237"/>
              <a:ext cx="72000" cy="2123505"/>
            </a:xfrm>
            <a:prstGeom prst="rect">
              <a:avLst/>
            </a:prstGeom>
            <a:solidFill>
              <a:srgbClr val="00B0F0">
                <a:alpha val="23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TW" altLang="en-US"/>
            </a:p>
          </xdr:txBody>
        </xdr:sp>
        <xdr:sp macro="" textlink="">
          <xdr:nvSpPr>
            <xdr:cNvPr id="20" name="矩形 19"/>
            <xdr:cNvSpPr/>
          </xdr:nvSpPr>
          <xdr:spPr>
            <a:xfrm>
              <a:off x="3523653" y="376237"/>
              <a:ext cx="179314" cy="2123505"/>
            </a:xfrm>
            <a:prstGeom prst="rect">
              <a:avLst/>
            </a:prstGeom>
            <a:solidFill>
              <a:srgbClr val="FFC000">
                <a:alpha val="23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TW" altLang="en-US"/>
            </a:p>
          </xdr:txBody>
        </xdr:sp>
        <xdr:sp macro="" textlink="">
          <xdr:nvSpPr>
            <xdr:cNvPr id="21" name="矩形 20"/>
            <xdr:cNvSpPr/>
          </xdr:nvSpPr>
          <xdr:spPr>
            <a:xfrm>
              <a:off x="3702967" y="376237"/>
              <a:ext cx="576000" cy="2123505"/>
            </a:xfrm>
            <a:prstGeom prst="rect">
              <a:avLst/>
            </a:prstGeom>
            <a:solidFill>
              <a:srgbClr val="00B0F0">
                <a:alpha val="23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TW" altLang="en-US"/>
            </a:p>
          </xdr:txBody>
        </xdr:sp>
        <xdr:grpSp>
          <xdr:nvGrpSpPr>
            <xdr:cNvPr id="22" name="群組 21"/>
            <xdr:cNvGrpSpPr/>
          </xdr:nvGrpSpPr>
          <xdr:grpSpPr>
            <a:xfrm>
              <a:off x="542043" y="335152"/>
              <a:ext cx="3754991" cy="72000"/>
              <a:chOff x="542043" y="335152"/>
              <a:chExt cx="3754991" cy="72000"/>
            </a:xfrm>
          </xdr:grpSpPr>
          <xdr:cxnSp macro="">
            <xdr:nvCxnSpPr>
              <xdr:cNvPr id="46" name="直線接點 45"/>
              <xdr:cNvCxnSpPr/>
            </xdr:nvCxnSpPr>
            <xdr:spPr>
              <a:xfrm>
                <a:off x="542043" y="371152"/>
                <a:ext cx="3736924" cy="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7" name="橢圓 46"/>
              <xdr:cNvSpPr/>
            </xdr:nvSpPr>
            <xdr:spPr>
              <a:xfrm>
                <a:off x="542043" y="335152"/>
                <a:ext cx="72000" cy="72000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zh-TW"/>
                </a:defPPr>
                <a:lvl1pPr marL="0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114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023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5345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046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5576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06913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15805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09208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zh-TW" altLang="en-US"/>
              </a:p>
            </xdr:txBody>
          </xdr:sp>
          <xdr:sp macro="" textlink="">
            <xdr:nvSpPr>
              <xdr:cNvPr id="48" name="橢圓 47"/>
              <xdr:cNvSpPr/>
            </xdr:nvSpPr>
            <xdr:spPr>
              <a:xfrm>
                <a:off x="4225034" y="335152"/>
                <a:ext cx="72000" cy="72000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zh-TW"/>
                </a:defPPr>
                <a:lvl1pPr marL="0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114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023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5345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046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5576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06913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15805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09208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zh-TW" altLang="en-US"/>
              </a:p>
            </xdr:txBody>
          </xdr:sp>
          <xdr:sp macro="" textlink="">
            <xdr:nvSpPr>
              <xdr:cNvPr id="49" name="橢圓 48"/>
              <xdr:cNvSpPr/>
            </xdr:nvSpPr>
            <xdr:spPr>
              <a:xfrm>
                <a:off x="1578735" y="335152"/>
                <a:ext cx="72000" cy="72000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zh-TW"/>
                </a:defPPr>
                <a:lvl1pPr marL="0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114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023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5345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046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5576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06913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15805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09208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zh-TW" altLang="en-US"/>
              </a:p>
            </xdr:txBody>
          </xdr:sp>
          <xdr:sp macro="" textlink="">
            <xdr:nvSpPr>
              <xdr:cNvPr id="50" name="橢圓 49"/>
              <xdr:cNvSpPr/>
            </xdr:nvSpPr>
            <xdr:spPr>
              <a:xfrm>
                <a:off x="2224620" y="335152"/>
                <a:ext cx="72000" cy="72000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zh-TW"/>
                </a:defPPr>
                <a:lvl1pPr marL="0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114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023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5345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046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5576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06913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15805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09208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zh-TW" altLang="en-US"/>
              </a:p>
            </xdr:txBody>
          </xdr:sp>
          <xdr:sp macro="" textlink="">
            <xdr:nvSpPr>
              <xdr:cNvPr id="51" name="橢圓 50"/>
              <xdr:cNvSpPr/>
            </xdr:nvSpPr>
            <xdr:spPr>
              <a:xfrm>
                <a:off x="3414614" y="335152"/>
                <a:ext cx="72000" cy="72000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zh-TW"/>
                </a:defPPr>
                <a:lvl1pPr marL="0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114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023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5345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046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5576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06913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15805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09208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zh-TW" altLang="en-US"/>
              </a:p>
            </xdr:txBody>
          </xdr:sp>
          <xdr:sp macro="" textlink="">
            <xdr:nvSpPr>
              <xdr:cNvPr id="52" name="橢圓 51"/>
              <xdr:cNvSpPr/>
            </xdr:nvSpPr>
            <xdr:spPr>
              <a:xfrm>
                <a:off x="3660459" y="335152"/>
                <a:ext cx="72000" cy="72000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zh-TW"/>
                </a:defPPr>
                <a:lvl1pPr marL="0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114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023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5345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046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5576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06913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15805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09208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zh-TW" altLang="en-US"/>
              </a:p>
            </xdr:txBody>
          </xdr:sp>
          <xdr:sp macro="" textlink="">
            <xdr:nvSpPr>
              <xdr:cNvPr id="53" name="橢圓 52"/>
              <xdr:cNvSpPr/>
            </xdr:nvSpPr>
            <xdr:spPr>
              <a:xfrm>
                <a:off x="3489192" y="335152"/>
                <a:ext cx="72000" cy="72000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zh-TW"/>
                </a:defPPr>
                <a:lvl1pPr marL="0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114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023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53452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0460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5576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06913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158056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09208" algn="l" defTabSz="902306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zh-TW" altLang="en-US"/>
              </a:p>
            </xdr:txBody>
          </xdr:sp>
        </xdr:grpSp>
        <xdr:cxnSp macro="">
          <xdr:nvCxnSpPr>
            <xdr:cNvPr id="23" name="直線接點 22"/>
            <xdr:cNvCxnSpPr/>
          </xdr:nvCxnSpPr>
          <xdr:spPr>
            <a:xfrm flipV="1">
              <a:off x="576472" y="123478"/>
              <a:ext cx="0" cy="21167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直線接點 23"/>
            <xdr:cNvCxnSpPr/>
          </xdr:nvCxnSpPr>
          <xdr:spPr>
            <a:xfrm flipV="1">
              <a:off x="1614735" y="195486"/>
              <a:ext cx="0" cy="1396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" name="直線接點 24"/>
            <xdr:cNvCxnSpPr/>
          </xdr:nvCxnSpPr>
          <xdr:spPr>
            <a:xfrm flipV="1">
              <a:off x="2260620" y="195486"/>
              <a:ext cx="2115" cy="1396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" name="直線接點 25"/>
            <xdr:cNvCxnSpPr/>
          </xdr:nvCxnSpPr>
          <xdr:spPr>
            <a:xfrm flipV="1">
              <a:off x="3450614" y="195486"/>
              <a:ext cx="0" cy="1396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直線接點 26"/>
            <xdr:cNvCxnSpPr/>
          </xdr:nvCxnSpPr>
          <xdr:spPr>
            <a:xfrm flipV="1">
              <a:off x="3523653" y="195486"/>
              <a:ext cx="1539" cy="1396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直線接點 27"/>
            <xdr:cNvCxnSpPr/>
          </xdr:nvCxnSpPr>
          <xdr:spPr>
            <a:xfrm flipV="1">
              <a:off x="3702967" y="195486"/>
              <a:ext cx="0" cy="1396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直線接點 28"/>
            <xdr:cNvCxnSpPr/>
          </xdr:nvCxnSpPr>
          <xdr:spPr>
            <a:xfrm flipV="1">
              <a:off x="4262135" y="195486"/>
              <a:ext cx="0" cy="155252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" name="文字方塊 18"/>
            <xdr:cNvSpPr txBox="1"/>
          </xdr:nvSpPr>
          <xdr:spPr>
            <a:xfrm>
              <a:off x="2589432" y="309305"/>
              <a:ext cx="534608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TW" altLang="en-US" sz="1000" b="1">
                  <a:solidFill>
                    <a:srgbClr val="0000FF"/>
                  </a:solidFill>
                </a:rPr>
                <a:t>⑤</a:t>
              </a:r>
              <a:r>
                <a:rPr lang="en-US" altLang="zh-TW" sz="1000" b="1">
                  <a:solidFill>
                    <a:srgbClr val="0000FF"/>
                  </a:solidFill>
                </a:rPr>
                <a:t>+</a:t>
              </a:r>
              <a:r>
                <a:rPr lang="zh-TW" altLang="en-US" sz="1000" b="1">
                  <a:solidFill>
                    <a:srgbClr val="0000FF"/>
                  </a:solidFill>
                </a:rPr>
                <a:t>⑥</a:t>
              </a:r>
            </a:p>
          </xdr:txBody>
        </xdr:sp>
        <xdr:sp macro="" textlink="">
          <xdr:nvSpPr>
            <xdr:cNvPr id="31" name="文字方塊 48"/>
            <xdr:cNvSpPr txBox="1"/>
          </xdr:nvSpPr>
          <xdr:spPr>
            <a:xfrm>
              <a:off x="1777885" y="309305"/>
              <a:ext cx="321699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TW" altLang="en-US" sz="1000" b="1">
                  <a:solidFill>
                    <a:srgbClr val="FF0000"/>
                  </a:solidFill>
                </a:rPr>
                <a:t>④</a:t>
              </a:r>
            </a:p>
          </xdr:txBody>
        </xdr:sp>
        <xdr:sp macro="" textlink="">
          <xdr:nvSpPr>
            <xdr:cNvPr id="32" name="文字方塊 49"/>
            <xdr:cNvSpPr txBox="1"/>
          </xdr:nvSpPr>
          <xdr:spPr>
            <a:xfrm>
              <a:off x="3305545" y="309305"/>
              <a:ext cx="321699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TW" altLang="en-US" sz="1000" b="1">
                  <a:solidFill>
                    <a:srgbClr val="0000FF"/>
                  </a:solidFill>
                </a:rPr>
                <a:t>⑦</a:t>
              </a:r>
            </a:p>
          </xdr:txBody>
        </xdr:sp>
        <xdr:sp macro="" textlink="">
          <xdr:nvSpPr>
            <xdr:cNvPr id="33" name="文字方塊 50"/>
            <xdr:cNvSpPr txBox="1"/>
          </xdr:nvSpPr>
          <xdr:spPr>
            <a:xfrm>
              <a:off x="917538" y="309305"/>
              <a:ext cx="321699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TW" altLang="en-US" sz="1000" b="1">
                  <a:solidFill>
                    <a:srgbClr val="0000FF"/>
                  </a:solidFill>
                </a:rPr>
                <a:t>⑨</a:t>
              </a:r>
            </a:p>
          </xdr:txBody>
        </xdr:sp>
        <xdr:sp macro="" textlink="">
          <xdr:nvSpPr>
            <xdr:cNvPr id="34" name="文字方塊 51"/>
            <xdr:cNvSpPr txBox="1"/>
          </xdr:nvSpPr>
          <xdr:spPr>
            <a:xfrm>
              <a:off x="3436476" y="309305"/>
              <a:ext cx="343436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TW" altLang="en-US" sz="1000" b="1">
                  <a:solidFill>
                    <a:srgbClr val="0000FF"/>
                  </a:solidFill>
                </a:rPr>
                <a:t>⑧</a:t>
              </a:r>
            </a:p>
          </xdr:txBody>
        </xdr:sp>
        <xdr:sp macro="" textlink="">
          <xdr:nvSpPr>
            <xdr:cNvPr id="35" name="文字方塊 53"/>
            <xdr:cNvSpPr txBox="1"/>
          </xdr:nvSpPr>
          <xdr:spPr>
            <a:xfrm>
              <a:off x="3856550" y="309305"/>
              <a:ext cx="321699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TW" altLang="en-US" sz="1000" b="1">
                  <a:solidFill>
                    <a:srgbClr val="0000FF"/>
                  </a:solidFill>
                </a:rPr>
                <a:t>⑨</a:t>
              </a:r>
            </a:p>
          </xdr:txBody>
        </xdr:sp>
        <xdr:cxnSp macro="">
          <xdr:nvCxnSpPr>
            <xdr:cNvPr id="36" name="直線單箭頭接點 35"/>
            <xdr:cNvCxnSpPr/>
          </xdr:nvCxnSpPr>
          <xdr:spPr>
            <a:xfrm>
              <a:off x="576472" y="224738"/>
              <a:ext cx="1038263" cy="0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矩形 36"/>
            <xdr:cNvSpPr/>
          </xdr:nvSpPr>
          <xdr:spPr>
            <a:xfrm>
              <a:off x="681485" y="8335"/>
              <a:ext cx="793807" cy="215444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altLang="zh-TW" sz="800" b="1">
                  <a:latin typeface="+mn-ea"/>
                </a:rPr>
                <a:t>Rest Motion</a:t>
              </a:r>
              <a:endParaRPr lang="zh-TW" altLang="en-US" sz="800" b="1">
                <a:latin typeface="+mn-ea"/>
              </a:endParaRPr>
            </a:p>
          </xdr:txBody>
        </xdr:sp>
        <xdr:cxnSp macro="">
          <xdr:nvCxnSpPr>
            <xdr:cNvPr id="38" name="直線單箭頭接點 37"/>
            <xdr:cNvCxnSpPr/>
          </xdr:nvCxnSpPr>
          <xdr:spPr>
            <a:xfrm flipV="1">
              <a:off x="1614735" y="223780"/>
              <a:ext cx="645885" cy="959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矩形 38"/>
            <xdr:cNvSpPr/>
          </xdr:nvSpPr>
          <xdr:spPr>
            <a:xfrm>
              <a:off x="1614735" y="8335"/>
              <a:ext cx="620683" cy="215444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altLang="zh-TW" sz="800" b="1">
                  <a:latin typeface="+mn-ea"/>
                </a:rPr>
                <a:t>1st Bond</a:t>
              </a:r>
              <a:endParaRPr lang="zh-TW" altLang="en-US" sz="800" b="1">
                <a:latin typeface="+mn-ea"/>
              </a:endParaRPr>
            </a:p>
          </xdr:txBody>
        </xdr:sp>
        <xdr:cxnSp macro="">
          <xdr:nvCxnSpPr>
            <xdr:cNvPr id="40" name="直線單箭頭接點 39"/>
            <xdr:cNvCxnSpPr/>
          </xdr:nvCxnSpPr>
          <xdr:spPr>
            <a:xfrm>
              <a:off x="2262736" y="227453"/>
              <a:ext cx="1188917" cy="838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1" name="矩形 40"/>
            <xdr:cNvSpPr/>
          </xdr:nvSpPr>
          <xdr:spPr>
            <a:xfrm>
              <a:off x="2536521" y="0"/>
              <a:ext cx="595035" cy="215444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altLang="zh-TW" sz="800" b="1">
                  <a:latin typeface="+mn-ea"/>
                </a:rPr>
                <a:t>Looping</a:t>
              </a:r>
              <a:endParaRPr lang="zh-TW" altLang="en-US" sz="800" b="1">
                <a:latin typeface="+mn-ea"/>
              </a:endParaRPr>
            </a:p>
          </xdr:txBody>
        </xdr:sp>
        <xdr:cxnSp macro="">
          <xdr:nvCxnSpPr>
            <xdr:cNvPr id="42" name="直線單箭頭接點 41"/>
            <xdr:cNvCxnSpPr/>
          </xdr:nvCxnSpPr>
          <xdr:spPr>
            <a:xfrm>
              <a:off x="3523653" y="231313"/>
              <a:ext cx="172806" cy="0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直線單箭頭接點 42"/>
            <xdr:cNvCxnSpPr/>
          </xdr:nvCxnSpPr>
          <xdr:spPr>
            <a:xfrm>
              <a:off x="3706290" y="227452"/>
              <a:ext cx="554744" cy="839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4" name="矩形 43"/>
            <xdr:cNvSpPr/>
          </xdr:nvSpPr>
          <xdr:spPr>
            <a:xfrm>
              <a:off x="3296063" y="49875"/>
              <a:ext cx="662361" cy="215444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altLang="zh-TW" sz="800" b="1">
                  <a:latin typeface="+mn-ea"/>
                </a:rPr>
                <a:t>2nd Bond</a:t>
              </a:r>
              <a:endParaRPr lang="zh-TW" altLang="en-US" sz="800" b="1">
                <a:latin typeface="+mn-ea"/>
              </a:endParaRPr>
            </a:p>
          </xdr:txBody>
        </xdr:sp>
        <xdr:sp macro="" textlink="">
          <xdr:nvSpPr>
            <xdr:cNvPr id="45" name="矩形 44"/>
            <xdr:cNvSpPr/>
          </xdr:nvSpPr>
          <xdr:spPr>
            <a:xfrm>
              <a:off x="3608194" y="-49764"/>
              <a:ext cx="793807" cy="215444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zh-TW"/>
              </a:defPPr>
              <a:lvl1pPr marL="0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114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023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53452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0460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5576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06913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158056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09208" algn="l" defTabSz="902306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altLang="zh-TW" sz="800" b="1">
                  <a:latin typeface="+mn-ea"/>
                </a:rPr>
                <a:t>Rest Motion</a:t>
              </a:r>
              <a:endParaRPr lang="zh-TW" altLang="en-US" sz="800" b="1">
                <a:latin typeface="+mn-ea"/>
              </a:endParaRPr>
            </a:p>
          </xdr:txBody>
        </xdr:sp>
      </xdr:grpSp>
    </xdr:grpSp>
    <xdr:clientData/>
  </xdr:twoCellAnchor>
  <xdr:twoCellAnchor>
    <xdr:from>
      <xdr:col>8</xdr:col>
      <xdr:colOff>523875</xdr:colOff>
      <xdr:row>0</xdr:row>
      <xdr:rowOff>57150</xdr:rowOff>
    </xdr:from>
    <xdr:to>
      <xdr:col>13</xdr:col>
      <xdr:colOff>228600</xdr:colOff>
      <xdr:row>1</xdr:row>
      <xdr:rowOff>104775</xdr:rowOff>
    </xdr:to>
    <xdr:sp macro="" textlink="">
      <xdr:nvSpPr>
        <xdr:cNvPr id="54" name="文字方塊 53"/>
        <xdr:cNvSpPr txBox="1"/>
      </xdr:nvSpPr>
      <xdr:spPr>
        <a:xfrm>
          <a:off x="5400675" y="57150"/>
          <a:ext cx="2752725" cy="257175"/>
        </a:xfrm>
        <a:prstGeom prst="rect">
          <a:avLst/>
        </a:prstGeom>
        <a:noFill/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檔名</a:t>
          </a:r>
          <a:r>
            <a:rPr lang="en-US" altLang="zh-TW" sz="1100"/>
            <a:t>:DAQ_20220726/WBR431_80k_6.html</a:t>
          </a:r>
          <a:endParaRPr lang="zh-TW" altLang="en-US" sz="1100"/>
        </a:p>
      </xdr:txBody>
    </xdr:sp>
    <xdr:clientData/>
  </xdr:twoCellAnchor>
  <xdr:twoCellAnchor>
    <xdr:from>
      <xdr:col>13</xdr:col>
      <xdr:colOff>358452</xdr:colOff>
      <xdr:row>7</xdr:row>
      <xdr:rowOff>27324</xdr:rowOff>
    </xdr:from>
    <xdr:to>
      <xdr:col>16</xdr:col>
      <xdr:colOff>185863</xdr:colOff>
      <xdr:row>21</xdr:row>
      <xdr:rowOff>91888</xdr:rowOff>
    </xdr:to>
    <xdr:sp macro="" textlink="">
      <xdr:nvSpPr>
        <xdr:cNvPr id="56" name="矩形 55"/>
        <xdr:cNvSpPr/>
      </xdr:nvSpPr>
      <xdr:spPr>
        <a:xfrm>
          <a:off x="8283252" y="1494174"/>
          <a:ext cx="1656211" cy="2998264"/>
        </a:xfrm>
        <a:prstGeom prst="rect">
          <a:avLst/>
        </a:prstGeom>
        <a:solidFill>
          <a:srgbClr val="00B0F0">
            <a:alpha val="19000"/>
          </a:srgbClr>
        </a:solidFill>
        <a:ln w="6350">
          <a:solidFill>
            <a:schemeClr val="dk1">
              <a:shade val="95000"/>
              <a:satMod val="10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8</xdr:col>
      <xdr:colOff>459441</xdr:colOff>
      <xdr:row>3</xdr:row>
      <xdr:rowOff>11206</xdr:rowOff>
    </xdr:from>
    <xdr:to>
      <xdr:col>14</xdr:col>
      <xdr:colOff>323973</xdr:colOff>
      <xdr:row>6</xdr:row>
      <xdr:rowOff>20089</xdr:rowOff>
    </xdr:to>
    <xdr:grpSp>
      <xdr:nvGrpSpPr>
        <xdr:cNvPr id="65" name="群組 64"/>
        <xdr:cNvGrpSpPr/>
      </xdr:nvGrpSpPr>
      <xdr:grpSpPr>
        <a:xfrm>
          <a:off x="5336241" y="639856"/>
          <a:ext cx="3522132" cy="637533"/>
          <a:chOff x="5334000" y="840441"/>
          <a:chExt cx="3495238" cy="647619"/>
        </a:xfrm>
      </xdr:grpSpPr>
      <xdr:pic>
        <xdr:nvPicPr>
          <xdr:cNvPr id="62" name="圖片 6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334000" y="840441"/>
            <a:ext cx="3495238" cy="647619"/>
          </a:xfrm>
          <a:prstGeom prst="rect">
            <a:avLst/>
          </a:prstGeom>
        </xdr:spPr>
      </xdr:pic>
      <xdr:sp macro="" textlink="">
        <xdr:nvSpPr>
          <xdr:cNvPr id="64" name="五角星形 63"/>
          <xdr:cNvSpPr/>
        </xdr:nvSpPr>
        <xdr:spPr>
          <a:xfrm>
            <a:off x="6510618" y="1299882"/>
            <a:ext cx="145676" cy="134471"/>
          </a:xfrm>
          <a:prstGeom prst="star5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 editAs="oneCell">
    <xdr:from>
      <xdr:col>8</xdr:col>
      <xdr:colOff>561975</xdr:colOff>
      <xdr:row>26</xdr:row>
      <xdr:rowOff>128002</xdr:rowOff>
    </xdr:from>
    <xdr:to>
      <xdr:col>20</xdr:col>
      <xdr:colOff>485775</xdr:colOff>
      <xdr:row>40</xdr:row>
      <xdr:rowOff>144946</xdr:rowOff>
    </xdr:to>
    <xdr:pic>
      <xdr:nvPicPr>
        <xdr:cNvPr id="68" name="圖片 67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E5ECF6"/>
            </a:clrFrom>
            <a:clrTo>
              <a:srgbClr val="E5ECF6">
                <a:alpha val="0"/>
              </a:srgbClr>
            </a:clrTo>
          </a:clrChange>
        </a:blip>
        <a:stretch>
          <a:fillRect/>
        </a:stretch>
      </xdr:blipFill>
      <xdr:spPr>
        <a:xfrm>
          <a:off x="5438775" y="5576302"/>
          <a:ext cx="7239000" cy="2950644"/>
        </a:xfrm>
        <a:prstGeom prst="rect">
          <a:avLst/>
        </a:prstGeom>
      </xdr:spPr>
    </xdr:pic>
    <xdr:clientData/>
  </xdr:twoCellAnchor>
  <xdr:twoCellAnchor>
    <xdr:from>
      <xdr:col>16</xdr:col>
      <xdr:colOff>276225</xdr:colOff>
      <xdr:row>26</xdr:row>
      <xdr:rowOff>114300</xdr:rowOff>
    </xdr:from>
    <xdr:to>
      <xdr:col>18</xdr:col>
      <xdr:colOff>600074</xdr:colOff>
      <xdr:row>40</xdr:row>
      <xdr:rowOff>178864</xdr:rowOff>
    </xdr:to>
    <xdr:sp macro="" textlink="">
      <xdr:nvSpPr>
        <xdr:cNvPr id="69" name="矩形 68"/>
        <xdr:cNvSpPr/>
      </xdr:nvSpPr>
      <xdr:spPr>
        <a:xfrm>
          <a:off x="10029825" y="5562600"/>
          <a:ext cx="1543049" cy="2998264"/>
        </a:xfrm>
        <a:prstGeom prst="rect">
          <a:avLst/>
        </a:prstGeom>
        <a:solidFill>
          <a:srgbClr val="00B0F0">
            <a:alpha val="19000"/>
          </a:srgbClr>
        </a:solidFill>
        <a:ln w="6350">
          <a:solidFill>
            <a:schemeClr val="dk1">
              <a:shade val="95000"/>
              <a:satMod val="10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8</xdr:col>
      <xdr:colOff>571500</xdr:colOff>
      <xdr:row>23</xdr:row>
      <xdr:rowOff>47625</xdr:rowOff>
    </xdr:from>
    <xdr:to>
      <xdr:col>15</xdr:col>
      <xdr:colOff>456681</xdr:colOff>
      <xdr:row>25</xdr:row>
      <xdr:rowOff>114239</xdr:rowOff>
    </xdr:to>
    <xdr:pic>
      <xdr:nvPicPr>
        <xdr:cNvPr id="70" name="圖片 6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48300" y="4867275"/>
          <a:ext cx="4152381" cy="4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561975</xdr:colOff>
      <xdr:row>42</xdr:row>
      <xdr:rowOff>85725</xdr:rowOff>
    </xdr:from>
    <xdr:to>
      <xdr:col>15</xdr:col>
      <xdr:colOff>447156</xdr:colOff>
      <xdr:row>44</xdr:row>
      <xdr:rowOff>161863</xdr:rowOff>
    </xdr:to>
    <xdr:pic>
      <xdr:nvPicPr>
        <xdr:cNvPr id="71" name="圖片 7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775" y="8886825"/>
          <a:ext cx="4152381" cy="495238"/>
        </a:xfrm>
        <a:prstGeom prst="rect">
          <a:avLst/>
        </a:prstGeom>
      </xdr:spPr>
    </xdr:pic>
    <xdr:clientData/>
  </xdr:twoCellAnchor>
  <xdr:twoCellAnchor editAs="oneCell">
    <xdr:from>
      <xdr:col>8</xdr:col>
      <xdr:colOff>561975</xdr:colOff>
      <xdr:row>45</xdr:row>
      <xdr:rowOff>161925</xdr:rowOff>
    </xdr:from>
    <xdr:to>
      <xdr:col>20</xdr:col>
      <xdr:colOff>485775</xdr:colOff>
      <xdr:row>59</xdr:row>
      <xdr:rowOff>178869</xdr:rowOff>
    </xdr:to>
    <xdr:pic>
      <xdr:nvPicPr>
        <xdr:cNvPr id="72" name="圖片 71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E5ECF6"/>
            </a:clrFrom>
            <a:clrTo>
              <a:srgbClr val="E5ECF6">
                <a:alpha val="0"/>
              </a:srgbClr>
            </a:clrTo>
          </a:clrChange>
        </a:blip>
        <a:stretch>
          <a:fillRect/>
        </a:stretch>
      </xdr:blipFill>
      <xdr:spPr>
        <a:xfrm>
          <a:off x="5438775" y="9591675"/>
          <a:ext cx="7239000" cy="2950644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45</xdr:row>
      <xdr:rowOff>38100</xdr:rowOff>
    </xdr:from>
    <xdr:to>
      <xdr:col>20</xdr:col>
      <xdr:colOff>457200</xdr:colOff>
      <xdr:row>59</xdr:row>
      <xdr:rowOff>102664</xdr:rowOff>
    </xdr:to>
    <xdr:sp macro="" textlink="">
      <xdr:nvSpPr>
        <xdr:cNvPr id="73" name="矩形 72"/>
        <xdr:cNvSpPr/>
      </xdr:nvSpPr>
      <xdr:spPr>
        <a:xfrm>
          <a:off x="11582400" y="9467850"/>
          <a:ext cx="1066800" cy="2998264"/>
        </a:xfrm>
        <a:prstGeom prst="rect">
          <a:avLst/>
        </a:prstGeom>
        <a:solidFill>
          <a:srgbClr val="00B0F0">
            <a:alpha val="19000"/>
          </a:srgbClr>
        </a:solidFill>
        <a:ln w="6350">
          <a:solidFill>
            <a:schemeClr val="dk1">
              <a:shade val="95000"/>
              <a:satMod val="10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145116</xdr:colOff>
      <xdr:row>24</xdr:row>
      <xdr:rowOff>125506</xdr:rowOff>
    </xdr:from>
    <xdr:to>
      <xdr:col>11</xdr:col>
      <xdr:colOff>291913</xdr:colOff>
      <xdr:row>25</xdr:row>
      <xdr:rowOff>48333</xdr:rowOff>
    </xdr:to>
    <xdr:sp macro="" textlink="">
      <xdr:nvSpPr>
        <xdr:cNvPr id="75" name="五角星形 74"/>
        <xdr:cNvSpPr/>
      </xdr:nvSpPr>
      <xdr:spPr>
        <a:xfrm>
          <a:off x="6850716" y="5154706"/>
          <a:ext cx="146797" cy="13237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180975</xdr:colOff>
      <xdr:row>43</xdr:row>
      <xdr:rowOff>161925</xdr:rowOff>
    </xdr:from>
    <xdr:to>
      <xdr:col>11</xdr:col>
      <xdr:colOff>327772</xdr:colOff>
      <xdr:row>44</xdr:row>
      <xdr:rowOff>84752</xdr:rowOff>
    </xdr:to>
    <xdr:sp macro="" textlink="">
      <xdr:nvSpPr>
        <xdr:cNvPr id="76" name="五角星形 75"/>
        <xdr:cNvSpPr/>
      </xdr:nvSpPr>
      <xdr:spPr>
        <a:xfrm>
          <a:off x="6886575" y="9172575"/>
          <a:ext cx="146797" cy="132377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314325</xdr:colOff>
      <xdr:row>19</xdr:row>
      <xdr:rowOff>57150</xdr:rowOff>
    </xdr:from>
    <xdr:to>
      <xdr:col>13</xdr:col>
      <xdr:colOff>386325</xdr:colOff>
      <xdr:row>19</xdr:row>
      <xdr:rowOff>129150</xdr:rowOff>
    </xdr:to>
    <xdr:sp macro="" textlink="">
      <xdr:nvSpPr>
        <xdr:cNvPr id="77" name="橢圓 76"/>
        <xdr:cNvSpPr/>
      </xdr:nvSpPr>
      <xdr:spPr>
        <a:xfrm>
          <a:off x="8239125" y="4038600"/>
          <a:ext cx="72000" cy="72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333375</xdr:colOff>
      <xdr:row>8</xdr:row>
      <xdr:rowOff>47625</xdr:rowOff>
    </xdr:from>
    <xdr:to>
      <xdr:col>13</xdr:col>
      <xdr:colOff>405375</xdr:colOff>
      <xdr:row>8</xdr:row>
      <xdr:rowOff>119625</xdr:rowOff>
    </xdr:to>
    <xdr:sp macro="" textlink="">
      <xdr:nvSpPr>
        <xdr:cNvPr id="78" name="橢圓 77"/>
        <xdr:cNvSpPr/>
      </xdr:nvSpPr>
      <xdr:spPr>
        <a:xfrm>
          <a:off x="8258175" y="1724025"/>
          <a:ext cx="72000" cy="72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152400</xdr:colOff>
      <xdr:row>18</xdr:row>
      <xdr:rowOff>200025</xdr:rowOff>
    </xdr:from>
    <xdr:to>
      <xdr:col>16</xdr:col>
      <xdr:colOff>224400</xdr:colOff>
      <xdr:row>19</xdr:row>
      <xdr:rowOff>62475</xdr:rowOff>
    </xdr:to>
    <xdr:sp macro="" textlink="">
      <xdr:nvSpPr>
        <xdr:cNvPr id="79" name="橢圓 78"/>
        <xdr:cNvSpPr/>
      </xdr:nvSpPr>
      <xdr:spPr>
        <a:xfrm>
          <a:off x="9906000" y="3971925"/>
          <a:ext cx="72000" cy="72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161925</xdr:colOff>
      <xdr:row>10</xdr:row>
      <xdr:rowOff>123825</xdr:rowOff>
    </xdr:from>
    <xdr:to>
      <xdr:col>16</xdr:col>
      <xdr:colOff>233925</xdr:colOff>
      <xdr:row>10</xdr:row>
      <xdr:rowOff>195825</xdr:rowOff>
    </xdr:to>
    <xdr:sp macro="" textlink="">
      <xdr:nvSpPr>
        <xdr:cNvPr id="80" name="橢圓 79"/>
        <xdr:cNvSpPr/>
      </xdr:nvSpPr>
      <xdr:spPr>
        <a:xfrm>
          <a:off x="9915525" y="2219325"/>
          <a:ext cx="72000" cy="72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22</xdr:row>
          <xdr:rowOff>142875</xdr:rowOff>
        </xdr:from>
        <xdr:to>
          <xdr:col>17</xdr:col>
          <xdr:colOff>114300</xdr:colOff>
          <xdr:row>24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24</xdr:row>
          <xdr:rowOff>57150</xdr:rowOff>
        </xdr:from>
        <xdr:to>
          <xdr:col>17</xdr:col>
          <xdr:colOff>114300</xdr:colOff>
          <xdr:row>25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247232</xdr:colOff>
      <xdr:row>34</xdr:row>
      <xdr:rowOff>62177</xdr:rowOff>
    </xdr:from>
    <xdr:to>
      <xdr:col>16</xdr:col>
      <xdr:colOff>319232</xdr:colOff>
      <xdr:row>34</xdr:row>
      <xdr:rowOff>137539</xdr:rowOff>
    </xdr:to>
    <xdr:sp macro="" textlink="">
      <xdr:nvSpPr>
        <xdr:cNvPr id="83" name="橢圓 82"/>
        <xdr:cNvSpPr/>
      </xdr:nvSpPr>
      <xdr:spPr>
        <a:xfrm>
          <a:off x="10000832" y="7186877"/>
          <a:ext cx="72000" cy="75362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18</xdr:col>
      <xdr:colOff>136957</xdr:colOff>
      <xdr:row>34</xdr:row>
      <xdr:rowOff>117874</xdr:rowOff>
    </xdr:from>
    <xdr:to>
      <xdr:col>18</xdr:col>
      <xdr:colOff>208957</xdr:colOff>
      <xdr:row>34</xdr:row>
      <xdr:rowOff>194426</xdr:rowOff>
    </xdr:to>
    <xdr:sp macro="" textlink="">
      <xdr:nvSpPr>
        <xdr:cNvPr id="84" name="橢圓 83"/>
        <xdr:cNvSpPr/>
      </xdr:nvSpPr>
      <xdr:spPr>
        <a:xfrm>
          <a:off x="11109757" y="7242574"/>
          <a:ext cx="72000" cy="76552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18</xdr:col>
      <xdr:colOff>566812</xdr:colOff>
      <xdr:row>52</xdr:row>
      <xdr:rowOff>159821</xdr:rowOff>
    </xdr:from>
    <xdr:to>
      <xdr:col>19</xdr:col>
      <xdr:colOff>28576</xdr:colOff>
      <xdr:row>53</xdr:row>
      <xdr:rowOff>22702</xdr:rowOff>
    </xdr:to>
    <xdr:sp macro="" textlink="">
      <xdr:nvSpPr>
        <xdr:cNvPr id="85" name="橢圓 84"/>
        <xdr:cNvSpPr/>
      </xdr:nvSpPr>
      <xdr:spPr>
        <a:xfrm>
          <a:off x="11539612" y="11056421"/>
          <a:ext cx="71364" cy="72431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20</xdr:col>
      <xdr:colOff>434928</xdr:colOff>
      <xdr:row>52</xdr:row>
      <xdr:rowOff>193524</xdr:rowOff>
    </xdr:from>
    <xdr:to>
      <xdr:col>20</xdr:col>
      <xdr:colOff>504827</xdr:colOff>
      <xdr:row>53</xdr:row>
      <xdr:rowOff>59336</xdr:rowOff>
    </xdr:to>
    <xdr:sp macro="" textlink="">
      <xdr:nvSpPr>
        <xdr:cNvPr id="86" name="橢圓 85"/>
        <xdr:cNvSpPr/>
      </xdr:nvSpPr>
      <xdr:spPr>
        <a:xfrm>
          <a:off x="12626928" y="11090124"/>
          <a:ext cx="69899" cy="75362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3</xdr:row>
          <xdr:rowOff>9525</xdr:rowOff>
        </xdr:from>
        <xdr:to>
          <xdr:col>15</xdr:col>
          <xdr:colOff>476250</xdr:colOff>
          <xdr:row>4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4</xdr:row>
          <xdr:rowOff>152400</xdr:rowOff>
        </xdr:from>
        <xdr:to>
          <xdr:col>15</xdr:col>
          <xdr:colOff>476250</xdr:colOff>
          <xdr:row>6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42</xdr:row>
          <xdr:rowOff>66675</xdr:rowOff>
        </xdr:from>
        <xdr:to>
          <xdr:col>17</xdr:col>
          <xdr:colOff>114300</xdr:colOff>
          <xdr:row>43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123825</xdr:colOff>
          <xdr:row>43</xdr:row>
          <xdr:rowOff>190500</xdr:rowOff>
        </xdr:from>
        <xdr:to>
          <xdr:col>17</xdr:col>
          <xdr:colOff>123825</xdr:colOff>
          <xdr:row>45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358586</xdr:colOff>
      <xdr:row>19</xdr:row>
      <xdr:rowOff>168089</xdr:rowOff>
    </xdr:from>
    <xdr:to>
      <xdr:col>39</xdr:col>
      <xdr:colOff>190279</xdr:colOff>
      <xdr:row>30</xdr:row>
      <xdr:rowOff>1</xdr:rowOff>
    </xdr:to>
    <xdr:grpSp>
      <xdr:nvGrpSpPr>
        <xdr:cNvPr id="87" name="群組 86"/>
        <xdr:cNvGrpSpPr/>
      </xdr:nvGrpSpPr>
      <xdr:grpSpPr>
        <a:xfrm>
          <a:off x="13160186" y="4149539"/>
          <a:ext cx="10804493" cy="2136962"/>
          <a:chOff x="2823882" y="13659971"/>
          <a:chExt cx="10723810" cy="2173941"/>
        </a:xfrm>
      </xdr:grpSpPr>
      <xdr:pic>
        <xdr:nvPicPr>
          <xdr:cNvPr id="81" name="圖片 80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823882" y="13659971"/>
            <a:ext cx="10723810" cy="2171429"/>
          </a:xfrm>
          <a:prstGeom prst="rect">
            <a:avLst/>
          </a:prstGeom>
        </xdr:spPr>
      </xdr:pic>
      <xdr:sp macro="" textlink="">
        <xdr:nvSpPr>
          <xdr:cNvPr id="82" name="矩形 81"/>
          <xdr:cNvSpPr/>
        </xdr:nvSpPr>
        <xdr:spPr>
          <a:xfrm>
            <a:off x="9155206" y="13973735"/>
            <a:ext cx="504265" cy="1860177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93" name="矩形 92"/>
          <xdr:cNvSpPr/>
        </xdr:nvSpPr>
        <xdr:spPr>
          <a:xfrm>
            <a:off x="10746441" y="13973735"/>
            <a:ext cx="504265" cy="1860177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>
    <xdr:from>
      <xdr:col>16</xdr:col>
      <xdr:colOff>190500</xdr:colOff>
      <xdr:row>26</xdr:row>
      <xdr:rowOff>114300</xdr:rowOff>
    </xdr:from>
    <xdr:to>
      <xdr:col>16</xdr:col>
      <xdr:colOff>277109</xdr:colOff>
      <xdr:row>40</xdr:row>
      <xdr:rowOff>178864</xdr:rowOff>
    </xdr:to>
    <xdr:sp macro="" textlink="">
      <xdr:nvSpPr>
        <xdr:cNvPr id="95" name="矩形 94"/>
        <xdr:cNvSpPr/>
      </xdr:nvSpPr>
      <xdr:spPr>
        <a:xfrm>
          <a:off x="9997109" y="5497996"/>
          <a:ext cx="86609" cy="2963477"/>
        </a:xfrm>
        <a:prstGeom prst="rect">
          <a:avLst/>
        </a:prstGeom>
        <a:solidFill>
          <a:srgbClr val="FFFF00">
            <a:alpha val="19000"/>
          </a:srgbClr>
        </a:solidFill>
        <a:ln w="6350">
          <a:solidFill>
            <a:schemeClr val="dk1">
              <a:shade val="95000"/>
              <a:satMod val="10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180975</xdr:colOff>
          <xdr:row>24</xdr:row>
          <xdr:rowOff>66675</xdr:rowOff>
        </xdr:from>
        <xdr:to>
          <xdr:col>19</xdr:col>
          <xdr:colOff>400050</xdr:colOff>
          <xdr:row>25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Kink Height_Hide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22</xdr:row>
          <xdr:rowOff>152400</xdr:rowOff>
        </xdr:from>
        <xdr:to>
          <xdr:col>19</xdr:col>
          <xdr:colOff>419100</xdr:colOff>
          <xdr:row>24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Kink Height_Show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590550</xdr:colOff>
      <xdr:row>4</xdr:row>
      <xdr:rowOff>95250</xdr:rowOff>
    </xdr:from>
    <xdr:to>
      <xdr:col>14</xdr:col>
      <xdr:colOff>76200</xdr:colOff>
      <xdr:row>4</xdr:row>
      <xdr:rowOff>104775</xdr:rowOff>
    </xdr:to>
    <xdr:cxnSp macro="">
      <xdr:nvCxnSpPr>
        <xdr:cNvPr id="9" name="直線接點 8"/>
        <xdr:cNvCxnSpPr/>
      </xdr:nvCxnSpPr>
      <xdr:spPr>
        <a:xfrm>
          <a:off x="6686550" y="933450"/>
          <a:ext cx="192405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209550</xdr:colOff>
      <xdr:row>13</xdr:row>
      <xdr:rowOff>104775</xdr:rowOff>
    </xdr:from>
    <xdr:to>
      <xdr:col>7</xdr:col>
      <xdr:colOff>409017</xdr:colOff>
      <xdr:row>21</xdr:row>
      <xdr:rowOff>9327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9550" y="2828925"/>
          <a:ext cx="4466667" cy="15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295275</xdr:colOff>
      <xdr:row>3</xdr:row>
      <xdr:rowOff>123825</xdr:rowOff>
    </xdr:from>
    <xdr:to>
      <xdr:col>11</xdr:col>
      <xdr:colOff>600075</xdr:colOff>
      <xdr:row>20</xdr:row>
      <xdr:rowOff>114300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U363"/>
  <sheetViews>
    <sheetView showGridLines="0" zoomScale="85" zoomScaleNormal="85" workbookViewId="0">
      <pane xSplit="12" ySplit="2" topLeftCell="M3" activePane="bottomRight" state="frozen"/>
      <selection activeCell="C24" sqref="C24"/>
      <selection pane="topRight" activeCell="C24" sqref="C24"/>
      <selection pane="bottomLeft" activeCell="C24" sqref="C24"/>
      <selection pane="bottomRight" activeCell="C24" sqref="C24"/>
    </sheetView>
  </sheetViews>
  <sheetFormatPr defaultRowHeight="12.75" x14ac:dyDescent="0.2"/>
  <cols>
    <col min="1" max="1" width="15.85546875" style="4" bestFit="1" customWidth="1"/>
    <col min="2" max="2" width="3.85546875" style="4" bestFit="1" customWidth="1"/>
    <col min="3" max="3" width="6" style="4" bestFit="1" customWidth="1"/>
    <col min="4" max="4" width="4.42578125" style="4" bestFit="1" customWidth="1"/>
    <col min="5" max="5" width="6.7109375" style="4" bestFit="1" customWidth="1"/>
    <col min="6" max="6" width="5.5703125" style="4" bestFit="1" customWidth="1"/>
    <col min="7" max="7" width="14.5703125" style="4" customWidth="1"/>
    <col min="8" max="8" width="13" style="4" bestFit="1" customWidth="1"/>
    <col min="9" max="11" width="8.28515625" style="4" customWidth="1"/>
    <col min="12" max="12" width="7.42578125" style="10" customWidth="1"/>
    <col min="13" max="13" width="9.7109375" style="4" customWidth="1"/>
    <col min="14" max="14" width="8.7109375" style="4" customWidth="1"/>
    <col min="15" max="15" width="9.140625" style="4"/>
    <col min="16" max="17" width="9.7109375" style="4" customWidth="1"/>
    <col min="18" max="18" width="10.28515625" style="4" customWidth="1"/>
    <col min="19" max="20" width="9.7109375" style="4" customWidth="1"/>
    <col min="21" max="21" width="10.28515625" style="4" customWidth="1"/>
    <col min="22" max="16384" width="9.140625" style="4"/>
  </cols>
  <sheetData>
    <row r="1" spans="1:21" ht="27.75" customHeight="1" x14ac:dyDescent="0.2">
      <c r="A1" s="24" t="s">
        <v>324</v>
      </c>
      <c r="B1" s="24" t="s">
        <v>325</v>
      </c>
      <c r="C1" s="24" t="s">
        <v>326</v>
      </c>
      <c r="D1" s="24" t="s">
        <v>327</v>
      </c>
      <c r="E1" s="24" t="s">
        <v>328</v>
      </c>
      <c r="F1" s="24" t="s">
        <v>329</v>
      </c>
      <c r="G1" s="28" t="s">
        <v>330</v>
      </c>
      <c r="H1" s="28" t="s">
        <v>331</v>
      </c>
      <c r="I1" s="28" t="s">
        <v>332</v>
      </c>
      <c r="J1" s="28" t="s">
        <v>333</v>
      </c>
      <c r="K1" s="28" t="s">
        <v>334</v>
      </c>
      <c r="L1" s="30" t="s">
        <v>335</v>
      </c>
      <c r="M1" s="25" t="s">
        <v>336</v>
      </c>
      <c r="N1" s="26"/>
      <c r="O1" s="27"/>
      <c r="P1" s="25" t="s">
        <v>358</v>
      </c>
      <c r="Q1" s="26"/>
      <c r="R1" s="27"/>
      <c r="S1" s="25" t="s">
        <v>337</v>
      </c>
      <c r="T1" s="26"/>
      <c r="U1" s="27"/>
    </row>
    <row r="2" spans="1:21" hidden="1" x14ac:dyDescent="0.2">
      <c r="A2" s="24"/>
      <c r="B2" s="24"/>
      <c r="C2" s="24"/>
      <c r="D2" s="24"/>
      <c r="E2" s="24"/>
      <c r="F2" s="24"/>
      <c r="G2" s="29"/>
      <c r="H2" s="29"/>
      <c r="I2" s="29"/>
      <c r="J2" s="29"/>
      <c r="K2" s="29"/>
      <c r="L2" s="29"/>
      <c r="M2" s="5" t="s">
        <v>338</v>
      </c>
      <c r="N2" s="5" t="s">
        <v>339</v>
      </c>
      <c r="O2" s="5" t="s">
        <v>340</v>
      </c>
      <c r="P2" s="5" t="s">
        <v>338</v>
      </c>
      <c r="Q2" s="5" t="s">
        <v>339</v>
      </c>
      <c r="R2" s="5" t="s">
        <v>340</v>
      </c>
      <c r="S2" s="5" t="s">
        <v>338</v>
      </c>
      <c r="T2" s="5" t="s">
        <v>339</v>
      </c>
      <c r="U2" s="5" t="s">
        <v>340</v>
      </c>
    </row>
    <row r="3" spans="1:21" x14ac:dyDescent="0.2">
      <c r="A3" s="6" t="s">
        <v>341</v>
      </c>
      <c r="B3" s="6" t="s">
        <v>342</v>
      </c>
      <c r="C3" s="6" t="s">
        <v>342</v>
      </c>
      <c r="D3" s="6" t="s">
        <v>342</v>
      </c>
      <c r="E3" s="6">
        <v>2</v>
      </c>
      <c r="F3" s="6">
        <v>1</v>
      </c>
      <c r="G3" s="6" t="s">
        <v>349</v>
      </c>
      <c r="H3" s="6" t="s">
        <v>136</v>
      </c>
      <c r="I3" s="6">
        <v>2</v>
      </c>
      <c r="J3" s="6">
        <v>3</v>
      </c>
      <c r="K3" s="6" t="s">
        <v>346</v>
      </c>
      <c r="L3" s="7">
        <v>5</v>
      </c>
      <c r="M3" s="6">
        <v>3679361</v>
      </c>
      <c r="N3" s="6">
        <v>3682011</v>
      </c>
      <c r="O3" s="6">
        <f t="shared" ref="O3:O66" si="0">IFERROR(N3-M3,"")</f>
        <v>2650</v>
      </c>
      <c r="P3" s="6">
        <f>N3</f>
        <v>3682011</v>
      </c>
      <c r="Q3" s="6">
        <f>S3</f>
        <v>3684550</v>
      </c>
      <c r="R3" s="6">
        <f t="shared" ref="R3:R23" si="1">IFERROR(Q3-P3,"")</f>
        <v>2539</v>
      </c>
      <c r="S3" s="6">
        <v>3684550</v>
      </c>
      <c r="T3" s="6">
        <v>3686244</v>
      </c>
      <c r="U3" s="6">
        <f t="shared" ref="U3:U66" si="2">IFERROR(T3-S3,"")</f>
        <v>1694</v>
      </c>
    </row>
    <row r="4" spans="1:21" x14ac:dyDescent="0.2">
      <c r="A4" s="6" t="s">
        <v>341</v>
      </c>
      <c r="B4" s="6" t="s">
        <v>342</v>
      </c>
      <c r="C4" s="6" t="s">
        <v>342</v>
      </c>
      <c r="D4" s="6" t="s">
        <v>342</v>
      </c>
      <c r="E4" s="6">
        <v>2</v>
      </c>
      <c r="F4" s="6">
        <v>2</v>
      </c>
      <c r="G4" s="6" t="s">
        <v>349</v>
      </c>
      <c r="H4" s="6" t="s">
        <v>136</v>
      </c>
      <c r="I4" s="6">
        <v>2</v>
      </c>
      <c r="J4" s="6">
        <v>3</v>
      </c>
      <c r="K4" s="6" t="s">
        <v>346</v>
      </c>
      <c r="L4" s="7">
        <v>6</v>
      </c>
      <c r="M4" s="6">
        <v>3690792</v>
      </c>
      <c r="N4" s="6">
        <v>3693431</v>
      </c>
      <c r="O4" s="6">
        <f t="shared" si="0"/>
        <v>2639</v>
      </c>
      <c r="P4" s="6">
        <f>N4</f>
        <v>3693431</v>
      </c>
      <c r="Q4" s="6">
        <f>S4</f>
        <v>3696075</v>
      </c>
      <c r="R4" s="6">
        <f t="shared" si="1"/>
        <v>2644</v>
      </c>
      <c r="S4" s="6">
        <v>3696075</v>
      </c>
      <c r="T4" s="6">
        <v>3697775</v>
      </c>
      <c r="U4" s="6">
        <f t="shared" si="2"/>
        <v>1700</v>
      </c>
    </row>
    <row r="5" spans="1:21" x14ac:dyDescent="0.2">
      <c r="A5" s="6" t="s">
        <v>341</v>
      </c>
      <c r="B5" s="6" t="s">
        <v>342</v>
      </c>
      <c r="C5" s="6" t="s">
        <v>342</v>
      </c>
      <c r="D5" s="6" t="s">
        <v>342</v>
      </c>
      <c r="E5" s="6">
        <v>2</v>
      </c>
      <c r="F5" s="6">
        <v>3</v>
      </c>
      <c r="G5" s="6" t="s">
        <v>349</v>
      </c>
      <c r="H5" s="6" t="s">
        <v>136</v>
      </c>
      <c r="I5" s="6">
        <v>2</v>
      </c>
      <c r="J5" s="6">
        <v>3</v>
      </c>
      <c r="K5" s="6" t="s">
        <v>346</v>
      </c>
      <c r="L5" s="7">
        <v>6</v>
      </c>
      <c r="M5" s="6">
        <v>3702323</v>
      </c>
      <c r="N5" s="6">
        <v>3704931</v>
      </c>
      <c r="O5" s="6">
        <f t="shared" si="0"/>
        <v>2608</v>
      </c>
      <c r="P5" s="6">
        <f>N5</f>
        <v>3704931</v>
      </c>
      <c r="Q5" s="6">
        <f>S5</f>
        <v>3707578</v>
      </c>
      <c r="R5" s="6">
        <f t="shared" si="1"/>
        <v>2647</v>
      </c>
      <c r="S5" s="6">
        <v>3707578</v>
      </c>
      <c r="T5" s="6">
        <v>3709280</v>
      </c>
      <c r="U5" s="6">
        <f t="shared" si="2"/>
        <v>1702</v>
      </c>
    </row>
    <row r="6" spans="1:21" x14ac:dyDescent="0.2">
      <c r="A6" s="6" t="s">
        <v>341</v>
      </c>
      <c r="B6" s="6" t="s">
        <v>342</v>
      </c>
      <c r="C6" s="6" t="s">
        <v>342</v>
      </c>
      <c r="D6" s="6" t="s">
        <v>342</v>
      </c>
      <c r="E6" s="6">
        <v>2</v>
      </c>
      <c r="F6" s="6">
        <v>4</v>
      </c>
      <c r="G6" s="6" t="s">
        <v>349</v>
      </c>
      <c r="H6" s="6" t="s">
        <v>136</v>
      </c>
      <c r="I6" s="6">
        <v>2</v>
      </c>
      <c r="J6" s="6">
        <v>3</v>
      </c>
      <c r="K6" s="6" t="s">
        <v>346</v>
      </c>
      <c r="L6" s="7">
        <v>7</v>
      </c>
      <c r="M6" s="6">
        <v>3713828</v>
      </c>
      <c r="N6" s="6">
        <v>3716440</v>
      </c>
      <c r="O6" s="6">
        <f t="shared" si="0"/>
        <v>2612</v>
      </c>
      <c r="P6" s="6">
        <f>N6</f>
        <v>3716440</v>
      </c>
      <c r="Q6" s="6">
        <f>S6</f>
        <v>3719122</v>
      </c>
      <c r="R6" s="6">
        <f t="shared" si="1"/>
        <v>2682</v>
      </c>
      <c r="S6" s="6">
        <v>3719122</v>
      </c>
      <c r="T6" s="6">
        <v>3720811</v>
      </c>
      <c r="U6" s="6">
        <f t="shared" si="2"/>
        <v>1689</v>
      </c>
    </row>
    <row r="7" spans="1:21" x14ac:dyDescent="0.2">
      <c r="A7" s="6" t="s">
        <v>341</v>
      </c>
      <c r="B7" s="6" t="s">
        <v>342</v>
      </c>
      <c r="C7" s="6" t="s">
        <v>342</v>
      </c>
      <c r="D7" s="6" t="s">
        <v>342</v>
      </c>
      <c r="E7" s="6">
        <v>2</v>
      </c>
      <c r="F7" s="6">
        <v>5</v>
      </c>
      <c r="G7" s="6" t="s">
        <v>349</v>
      </c>
      <c r="H7" s="6" t="s">
        <v>136</v>
      </c>
      <c r="I7" s="6">
        <v>2</v>
      </c>
      <c r="J7" s="6">
        <v>3</v>
      </c>
      <c r="K7" s="6" t="s">
        <v>346</v>
      </c>
      <c r="L7" s="7" t="s">
        <v>354</v>
      </c>
      <c r="M7" s="6">
        <v>3725323</v>
      </c>
      <c r="N7" s="6">
        <v>3727968</v>
      </c>
      <c r="O7" s="6">
        <f t="shared" si="0"/>
        <v>2645</v>
      </c>
      <c r="P7" s="6">
        <f>N7</f>
        <v>3727968</v>
      </c>
      <c r="Q7" s="6">
        <f>S7</f>
        <v>3730658</v>
      </c>
      <c r="R7" s="6">
        <f t="shared" si="1"/>
        <v>2690</v>
      </c>
      <c r="S7" s="6">
        <v>3730658</v>
      </c>
      <c r="T7" s="6">
        <v>3732337</v>
      </c>
      <c r="U7" s="6">
        <f t="shared" si="2"/>
        <v>1679</v>
      </c>
    </row>
    <row r="8" spans="1:21" hidden="1" x14ac:dyDescent="0.2">
      <c r="A8" s="6" t="s">
        <v>341</v>
      </c>
      <c r="B8" s="6" t="s">
        <v>342</v>
      </c>
      <c r="C8" s="6" t="s">
        <v>342</v>
      </c>
      <c r="D8" s="6" t="s">
        <v>342</v>
      </c>
      <c r="E8" s="6"/>
      <c r="F8" s="6">
        <v>6</v>
      </c>
      <c r="G8" s="6"/>
      <c r="H8" s="6"/>
      <c r="I8" s="6"/>
      <c r="J8" s="6"/>
      <c r="K8" s="6"/>
      <c r="L8" s="7"/>
      <c r="M8" s="6"/>
      <c r="N8" s="6"/>
      <c r="O8" s="6">
        <f t="shared" si="0"/>
        <v>0</v>
      </c>
      <c r="P8" s="6"/>
      <c r="Q8" s="6"/>
      <c r="R8" s="6">
        <f t="shared" si="1"/>
        <v>0</v>
      </c>
      <c r="S8" s="6"/>
      <c r="T8" s="6"/>
      <c r="U8" s="6">
        <f t="shared" si="2"/>
        <v>0</v>
      </c>
    </row>
    <row r="9" spans="1:21" hidden="1" x14ac:dyDescent="0.2">
      <c r="A9" s="6" t="s">
        <v>341</v>
      </c>
      <c r="B9" s="6" t="s">
        <v>342</v>
      </c>
      <c r="C9" s="6" t="s">
        <v>342</v>
      </c>
      <c r="D9" s="6" t="s">
        <v>342</v>
      </c>
      <c r="E9" s="6"/>
      <c r="F9" s="6">
        <v>7</v>
      </c>
      <c r="G9" s="6"/>
      <c r="H9" s="6"/>
      <c r="I9" s="6"/>
      <c r="J9" s="6"/>
      <c r="K9" s="6"/>
      <c r="L9" s="7"/>
      <c r="M9" s="6"/>
      <c r="N9" s="6"/>
      <c r="O9" s="6">
        <f t="shared" si="0"/>
        <v>0</v>
      </c>
      <c r="P9" s="6"/>
      <c r="Q9" s="6"/>
      <c r="R9" s="6">
        <f t="shared" si="1"/>
        <v>0</v>
      </c>
      <c r="S9" s="6"/>
      <c r="T9" s="6"/>
      <c r="U9" s="6">
        <f t="shared" si="2"/>
        <v>0</v>
      </c>
    </row>
    <row r="10" spans="1:21" hidden="1" x14ac:dyDescent="0.2">
      <c r="A10" s="6" t="s">
        <v>341</v>
      </c>
      <c r="B10" s="6" t="s">
        <v>342</v>
      </c>
      <c r="C10" s="6" t="s">
        <v>342</v>
      </c>
      <c r="D10" s="6" t="s">
        <v>342</v>
      </c>
      <c r="E10" s="6"/>
      <c r="F10" s="6">
        <v>8</v>
      </c>
      <c r="G10" s="6"/>
      <c r="H10" s="6"/>
      <c r="I10" s="6"/>
      <c r="J10" s="6"/>
      <c r="K10" s="6"/>
      <c r="L10" s="7"/>
      <c r="M10" s="6"/>
      <c r="N10" s="6"/>
      <c r="O10" s="6">
        <f t="shared" si="0"/>
        <v>0</v>
      </c>
      <c r="P10" s="6"/>
      <c r="Q10" s="6"/>
      <c r="R10" s="6">
        <f t="shared" si="1"/>
        <v>0</v>
      </c>
      <c r="S10" s="6"/>
      <c r="T10" s="6"/>
      <c r="U10" s="6">
        <f t="shared" si="2"/>
        <v>0</v>
      </c>
    </row>
    <row r="11" spans="1:21" hidden="1" x14ac:dyDescent="0.2">
      <c r="A11" s="6" t="s">
        <v>341</v>
      </c>
      <c r="B11" s="6" t="s">
        <v>342</v>
      </c>
      <c r="C11" s="6" t="s">
        <v>342</v>
      </c>
      <c r="D11" s="6" t="s">
        <v>342</v>
      </c>
      <c r="E11" s="6"/>
      <c r="F11" s="6">
        <v>9</v>
      </c>
      <c r="G11" s="6"/>
      <c r="H11" s="6"/>
      <c r="I11" s="6"/>
      <c r="J11" s="6"/>
      <c r="K11" s="6"/>
      <c r="L11" s="7"/>
      <c r="M11" s="6"/>
      <c r="N11" s="6"/>
      <c r="O11" s="6">
        <f t="shared" si="0"/>
        <v>0</v>
      </c>
      <c r="P11" s="6"/>
      <c r="Q11" s="6"/>
      <c r="R11" s="6">
        <f t="shared" si="1"/>
        <v>0</v>
      </c>
      <c r="S11" s="6"/>
      <c r="T11" s="6"/>
      <c r="U11" s="6">
        <f t="shared" si="2"/>
        <v>0</v>
      </c>
    </row>
    <row r="12" spans="1:21" hidden="1" x14ac:dyDescent="0.2">
      <c r="A12" s="6" t="s">
        <v>341</v>
      </c>
      <c r="B12" s="6" t="s">
        <v>342</v>
      </c>
      <c r="C12" s="6" t="s">
        <v>342</v>
      </c>
      <c r="D12" s="6" t="s">
        <v>342</v>
      </c>
      <c r="E12" s="6"/>
      <c r="F12" s="6">
        <v>10</v>
      </c>
      <c r="G12" s="6"/>
      <c r="H12" s="6"/>
      <c r="I12" s="6"/>
      <c r="J12" s="6"/>
      <c r="K12" s="6"/>
      <c r="L12" s="7"/>
      <c r="M12" s="6"/>
      <c r="N12" s="6"/>
      <c r="O12" s="6">
        <f t="shared" si="0"/>
        <v>0</v>
      </c>
      <c r="P12" s="6"/>
      <c r="Q12" s="6"/>
      <c r="R12" s="6">
        <f t="shared" si="1"/>
        <v>0</v>
      </c>
      <c r="S12" s="6"/>
      <c r="T12" s="6"/>
      <c r="U12" s="6">
        <f t="shared" si="2"/>
        <v>0</v>
      </c>
    </row>
    <row r="13" spans="1:21" hidden="1" x14ac:dyDescent="0.2">
      <c r="A13" s="6" t="s">
        <v>341</v>
      </c>
      <c r="B13" s="6" t="s">
        <v>342</v>
      </c>
      <c r="C13" s="6" t="s">
        <v>342</v>
      </c>
      <c r="D13" s="6" t="s">
        <v>342</v>
      </c>
      <c r="E13" s="6"/>
      <c r="F13" s="6">
        <v>11</v>
      </c>
      <c r="G13" s="6"/>
      <c r="H13" s="6"/>
      <c r="I13" s="6"/>
      <c r="J13" s="6"/>
      <c r="K13" s="6"/>
      <c r="L13" s="7"/>
      <c r="M13" s="6"/>
      <c r="N13" s="6"/>
      <c r="O13" s="6">
        <f t="shared" si="0"/>
        <v>0</v>
      </c>
      <c r="P13" s="6"/>
      <c r="Q13" s="6"/>
      <c r="R13" s="6">
        <f t="shared" si="1"/>
        <v>0</v>
      </c>
      <c r="S13" s="6"/>
      <c r="T13" s="6"/>
      <c r="U13" s="6">
        <f t="shared" si="2"/>
        <v>0</v>
      </c>
    </row>
    <row r="14" spans="1:21" hidden="1" x14ac:dyDescent="0.2">
      <c r="A14" s="6" t="s">
        <v>341</v>
      </c>
      <c r="B14" s="6" t="s">
        <v>342</v>
      </c>
      <c r="C14" s="6" t="s">
        <v>342</v>
      </c>
      <c r="D14" s="6" t="s">
        <v>342</v>
      </c>
      <c r="E14" s="6"/>
      <c r="F14" s="6">
        <v>12</v>
      </c>
      <c r="G14" s="6"/>
      <c r="H14" s="6"/>
      <c r="I14" s="6"/>
      <c r="J14" s="6"/>
      <c r="K14" s="6"/>
      <c r="L14" s="7"/>
      <c r="M14" s="6"/>
      <c r="N14" s="6"/>
      <c r="O14" s="6">
        <f t="shared" si="0"/>
        <v>0</v>
      </c>
      <c r="P14" s="6"/>
      <c r="Q14" s="6"/>
      <c r="R14" s="6">
        <f t="shared" si="1"/>
        <v>0</v>
      </c>
      <c r="S14" s="6"/>
      <c r="T14" s="6"/>
      <c r="U14" s="6">
        <f t="shared" si="2"/>
        <v>0</v>
      </c>
    </row>
    <row r="15" spans="1:21" hidden="1" x14ac:dyDescent="0.2">
      <c r="A15" s="6" t="s">
        <v>341</v>
      </c>
      <c r="B15" s="6" t="s">
        <v>342</v>
      </c>
      <c r="C15" s="6" t="s">
        <v>342</v>
      </c>
      <c r="D15" s="6" t="s">
        <v>342</v>
      </c>
      <c r="E15" s="6"/>
      <c r="F15" s="6">
        <v>13</v>
      </c>
      <c r="G15" s="6"/>
      <c r="H15" s="6"/>
      <c r="I15" s="6"/>
      <c r="J15" s="6"/>
      <c r="K15" s="6"/>
      <c r="L15" s="7"/>
      <c r="M15" s="6"/>
      <c r="N15" s="6"/>
      <c r="O15" s="6">
        <f t="shared" si="0"/>
        <v>0</v>
      </c>
      <c r="P15" s="6"/>
      <c r="Q15" s="6"/>
      <c r="R15" s="6">
        <f t="shared" si="1"/>
        <v>0</v>
      </c>
      <c r="S15" s="6"/>
      <c r="T15" s="6"/>
      <c r="U15" s="6">
        <f t="shared" si="2"/>
        <v>0</v>
      </c>
    </row>
    <row r="16" spans="1:21" hidden="1" x14ac:dyDescent="0.2">
      <c r="A16" s="6" t="s">
        <v>341</v>
      </c>
      <c r="B16" s="6" t="s">
        <v>342</v>
      </c>
      <c r="C16" s="6" t="s">
        <v>342</v>
      </c>
      <c r="D16" s="6" t="s">
        <v>342</v>
      </c>
      <c r="E16" s="6"/>
      <c r="F16" s="6">
        <v>14</v>
      </c>
      <c r="G16" s="6"/>
      <c r="H16" s="6"/>
      <c r="I16" s="6"/>
      <c r="J16" s="6"/>
      <c r="K16" s="6"/>
      <c r="L16" s="7"/>
      <c r="M16" s="6"/>
      <c r="N16" s="6"/>
      <c r="O16" s="6">
        <f t="shared" si="0"/>
        <v>0</v>
      </c>
      <c r="P16" s="6"/>
      <c r="Q16" s="6"/>
      <c r="R16" s="6">
        <f t="shared" si="1"/>
        <v>0</v>
      </c>
      <c r="S16" s="6"/>
      <c r="T16" s="6"/>
      <c r="U16" s="6">
        <f t="shared" si="2"/>
        <v>0</v>
      </c>
    </row>
    <row r="17" spans="1:21" hidden="1" x14ac:dyDescent="0.2">
      <c r="A17" s="6" t="s">
        <v>341</v>
      </c>
      <c r="B17" s="6" t="s">
        <v>342</v>
      </c>
      <c r="C17" s="6" t="s">
        <v>342</v>
      </c>
      <c r="D17" s="6" t="s">
        <v>342</v>
      </c>
      <c r="E17" s="6"/>
      <c r="F17" s="6">
        <v>15</v>
      </c>
      <c r="G17" s="6"/>
      <c r="H17" s="6"/>
      <c r="I17" s="6"/>
      <c r="J17" s="6"/>
      <c r="K17" s="6"/>
      <c r="L17" s="7"/>
      <c r="M17" s="6"/>
      <c r="N17" s="6"/>
      <c r="O17" s="6">
        <f t="shared" si="0"/>
        <v>0</v>
      </c>
      <c r="P17" s="6"/>
      <c r="Q17" s="6"/>
      <c r="R17" s="6">
        <f t="shared" si="1"/>
        <v>0</v>
      </c>
      <c r="S17" s="6"/>
      <c r="T17" s="6"/>
      <c r="U17" s="6">
        <f t="shared" si="2"/>
        <v>0</v>
      </c>
    </row>
    <row r="18" spans="1:21" hidden="1" x14ac:dyDescent="0.2">
      <c r="A18" s="6" t="s">
        <v>341</v>
      </c>
      <c r="B18" s="6" t="s">
        <v>342</v>
      </c>
      <c r="C18" s="6" t="s">
        <v>342</v>
      </c>
      <c r="D18" s="6" t="s">
        <v>342</v>
      </c>
      <c r="E18" s="6"/>
      <c r="F18" s="6">
        <v>16</v>
      </c>
      <c r="G18" s="6"/>
      <c r="H18" s="6"/>
      <c r="I18" s="6"/>
      <c r="J18" s="6"/>
      <c r="K18" s="6"/>
      <c r="L18" s="7"/>
      <c r="M18" s="8"/>
      <c r="N18" s="8"/>
      <c r="O18" s="6">
        <f t="shared" si="0"/>
        <v>0</v>
      </c>
      <c r="P18" s="6"/>
      <c r="Q18" s="6"/>
      <c r="R18" s="6">
        <f t="shared" si="1"/>
        <v>0</v>
      </c>
      <c r="S18" s="6"/>
      <c r="T18" s="6"/>
      <c r="U18" s="6">
        <f t="shared" si="2"/>
        <v>0</v>
      </c>
    </row>
    <row r="19" spans="1:21" hidden="1" x14ac:dyDescent="0.2">
      <c r="A19" s="6" t="s">
        <v>341</v>
      </c>
      <c r="B19" s="6" t="s">
        <v>342</v>
      </c>
      <c r="C19" s="6" t="s">
        <v>342</v>
      </c>
      <c r="D19" s="6" t="s">
        <v>342</v>
      </c>
      <c r="E19" s="6"/>
      <c r="F19" s="6">
        <v>17</v>
      </c>
      <c r="G19" s="6"/>
      <c r="H19" s="6"/>
      <c r="I19" s="6"/>
      <c r="J19" s="6"/>
      <c r="K19" s="6"/>
      <c r="L19" s="7"/>
      <c r="M19" s="8"/>
      <c r="N19" s="8"/>
      <c r="O19" s="6">
        <f t="shared" si="0"/>
        <v>0</v>
      </c>
      <c r="P19" s="6"/>
      <c r="Q19" s="6"/>
      <c r="R19" s="6">
        <f t="shared" si="1"/>
        <v>0</v>
      </c>
      <c r="S19" s="6"/>
      <c r="T19" s="6"/>
      <c r="U19" s="6">
        <f t="shared" si="2"/>
        <v>0</v>
      </c>
    </row>
    <row r="20" spans="1:21" hidden="1" x14ac:dyDescent="0.2">
      <c r="A20" s="6" t="s">
        <v>341</v>
      </c>
      <c r="B20" s="6" t="s">
        <v>342</v>
      </c>
      <c r="C20" s="6" t="s">
        <v>342</v>
      </c>
      <c r="D20" s="6" t="s">
        <v>342</v>
      </c>
      <c r="E20" s="6"/>
      <c r="F20" s="6">
        <v>18</v>
      </c>
      <c r="G20" s="6"/>
      <c r="H20" s="6"/>
      <c r="I20" s="6"/>
      <c r="J20" s="6"/>
      <c r="K20" s="6"/>
      <c r="L20" s="7"/>
      <c r="M20" s="8"/>
      <c r="N20" s="8"/>
      <c r="O20" s="6">
        <f t="shared" si="0"/>
        <v>0</v>
      </c>
      <c r="P20" s="6"/>
      <c r="Q20" s="6"/>
      <c r="R20" s="6">
        <f t="shared" si="1"/>
        <v>0</v>
      </c>
      <c r="S20" s="6"/>
      <c r="T20" s="6"/>
      <c r="U20" s="6">
        <f t="shared" si="2"/>
        <v>0</v>
      </c>
    </row>
    <row r="21" spans="1:21" hidden="1" x14ac:dyDescent="0.2">
      <c r="A21" s="6" t="s">
        <v>341</v>
      </c>
      <c r="B21" s="6" t="s">
        <v>342</v>
      </c>
      <c r="C21" s="6" t="s">
        <v>342</v>
      </c>
      <c r="D21" s="6" t="s">
        <v>342</v>
      </c>
      <c r="E21" s="6"/>
      <c r="F21" s="6">
        <v>19</v>
      </c>
      <c r="G21" s="6"/>
      <c r="H21" s="6"/>
      <c r="I21" s="6"/>
      <c r="J21" s="6"/>
      <c r="K21" s="6"/>
      <c r="L21" s="7"/>
      <c r="M21" s="8"/>
      <c r="N21" s="8"/>
      <c r="O21" s="6">
        <f t="shared" si="0"/>
        <v>0</v>
      </c>
      <c r="P21" s="6"/>
      <c r="Q21" s="6"/>
      <c r="R21" s="6">
        <f t="shared" si="1"/>
        <v>0</v>
      </c>
      <c r="S21" s="6"/>
      <c r="T21" s="6"/>
      <c r="U21" s="6">
        <f t="shared" si="2"/>
        <v>0</v>
      </c>
    </row>
    <row r="22" spans="1:21" hidden="1" x14ac:dyDescent="0.2">
      <c r="A22" s="6" t="s">
        <v>341</v>
      </c>
      <c r="B22" s="6" t="s">
        <v>342</v>
      </c>
      <c r="C22" s="6" t="s">
        <v>342</v>
      </c>
      <c r="D22" s="6" t="s">
        <v>342</v>
      </c>
      <c r="E22" s="6"/>
      <c r="F22" s="6">
        <v>20</v>
      </c>
      <c r="G22" s="6"/>
      <c r="H22" s="6"/>
      <c r="I22" s="6"/>
      <c r="J22" s="6"/>
      <c r="K22" s="6"/>
      <c r="L22" s="7"/>
      <c r="M22" s="8"/>
      <c r="N22" s="8"/>
      <c r="O22" s="6">
        <f t="shared" si="0"/>
        <v>0</v>
      </c>
      <c r="P22" s="6"/>
      <c r="Q22" s="6"/>
      <c r="R22" s="6">
        <f t="shared" si="1"/>
        <v>0</v>
      </c>
      <c r="S22" s="6"/>
      <c r="T22" s="6"/>
      <c r="U22" s="6">
        <f t="shared" si="2"/>
        <v>0</v>
      </c>
    </row>
    <row r="23" spans="1:21" hidden="1" x14ac:dyDescent="0.2">
      <c r="A23" s="6" t="s">
        <v>341</v>
      </c>
      <c r="B23" s="6" t="s">
        <v>342</v>
      </c>
      <c r="C23" s="6" t="s">
        <v>342</v>
      </c>
      <c r="D23" s="6" t="s">
        <v>342</v>
      </c>
      <c r="E23" s="6"/>
      <c r="F23" s="6">
        <v>21</v>
      </c>
      <c r="G23" s="6"/>
      <c r="H23" s="6"/>
      <c r="I23" s="6"/>
      <c r="J23" s="6"/>
      <c r="K23" s="6"/>
      <c r="L23" s="7"/>
      <c r="M23" s="8"/>
      <c r="N23" s="8"/>
      <c r="O23" s="6">
        <f t="shared" si="0"/>
        <v>0</v>
      </c>
      <c r="P23" s="6"/>
      <c r="Q23" s="6"/>
      <c r="R23" s="6">
        <f t="shared" si="1"/>
        <v>0</v>
      </c>
      <c r="S23" s="6"/>
      <c r="T23" s="6"/>
      <c r="U23" s="6">
        <f t="shared" si="2"/>
        <v>0</v>
      </c>
    </row>
    <row r="24" spans="1:21" hidden="1" x14ac:dyDescent="0.2">
      <c r="A24" s="6" t="s">
        <v>341</v>
      </c>
      <c r="B24" s="6" t="s">
        <v>342</v>
      </c>
      <c r="C24" s="6" t="s">
        <v>342</v>
      </c>
      <c r="D24" s="6" t="s">
        <v>342</v>
      </c>
      <c r="E24" s="6"/>
      <c r="F24" s="6">
        <v>22</v>
      </c>
      <c r="G24" s="6"/>
      <c r="H24" s="6"/>
      <c r="I24" s="6"/>
      <c r="J24" s="6"/>
      <c r="K24" s="6"/>
      <c r="L24" s="7"/>
      <c r="M24" s="8"/>
      <c r="N24" s="8"/>
      <c r="O24" s="6">
        <f t="shared" si="0"/>
        <v>0</v>
      </c>
      <c r="P24" s="6"/>
      <c r="Q24" s="6"/>
      <c r="R24" s="6">
        <f>IFERROR(Q24-P24,"")</f>
        <v>0</v>
      </c>
      <c r="S24" s="6"/>
      <c r="T24" s="6"/>
      <c r="U24" s="6">
        <f t="shared" si="2"/>
        <v>0</v>
      </c>
    </row>
    <row r="25" spans="1:21" hidden="1" x14ac:dyDescent="0.2">
      <c r="A25" s="6" t="s">
        <v>341</v>
      </c>
      <c r="B25" s="6" t="s">
        <v>342</v>
      </c>
      <c r="C25" s="6" t="s">
        <v>342</v>
      </c>
      <c r="D25" s="6" t="s">
        <v>342</v>
      </c>
      <c r="E25" s="6"/>
      <c r="F25" s="6">
        <v>23</v>
      </c>
      <c r="G25" s="6"/>
      <c r="H25" s="6"/>
      <c r="I25" s="6"/>
      <c r="J25" s="6"/>
      <c r="K25" s="6"/>
      <c r="L25" s="7"/>
      <c r="M25" s="8"/>
      <c r="N25" s="8"/>
      <c r="O25" s="6">
        <f t="shared" si="0"/>
        <v>0</v>
      </c>
      <c r="P25" s="6"/>
      <c r="Q25" s="6"/>
      <c r="R25" s="6">
        <f t="shared" ref="R25:R88" si="3">IFERROR(Q25-P25,"")</f>
        <v>0</v>
      </c>
      <c r="S25" s="6"/>
      <c r="T25" s="6"/>
      <c r="U25" s="6">
        <f t="shared" si="2"/>
        <v>0</v>
      </c>
    </row>
    <row r="26" spans="1:21" hidden="1" x14ac:dyDescent="0.2">
      <c r="A26" s="6" t="s">
        <v>341</v>
      </c>
      <c r="B26" s="6" t="s">
        <v>342</v>
      </c>
      <c r="C26" s="6" t="s">
        <v>342</v>
      </c>
      <c r="D26" s="6" t="s">
        <v>342</v>
      </c>
      <c r="E26" s="6"/>
      <c r="F26" s="6">
        <v>24</v>
      </c>
      <c r="G26" s="6"/>
      <c r="H26" s="6"/>
      <c r="I26" s="6"/>
      <c r="J26" s="6"/>
      <c r="K26" s="6"/>
      <c r="L26" s="7"/>
      <c r="M26" s="8"/>
      <c r="N26" s="8"/>
      <c r="O26" s="6">
        <f t="shared" si="0"/>
        <v>0</v>
      </c>
      <c r="P26" s="6"/>
      <c r="Q26" s="6"/>
      <c r="R26" s="6">
        <f t="shared" si="3"/>
        <v>0</v>
      </c>
      <c r="S26" s="6"/>
      <c r="T26" s="6"/>
      <c r="U26" s="6">
        <f t="shared" si="2"/>
        <v>0</v>
      </c>
    </row>
    <row r="27" spans="1:21" hidden="1" x14ac:dyDescent="0.2">
      <c r="A27" s="6" t="s">
        <v>341</v>
      </c>
      <c r="B27" s="6" t="s">
        <v>342</v>
      </c>
      <c r="C27" s="6" t="s">
        <v>342</v>
      </c>
      <c r="D27" s="6" t="s">
        <v>342</v>
      </c>
      <c r="E27" s="6"/>
      <c r="F27" s="6">
        <v>25</v>
      </c>
      <c r="G27" s="6"/>
      <c r="H27" s="6"/>
      <c r="I27" s="6"/>
      <c r="J27" s="6"/>
      <c r="K27" s="6"/>
      <c r="L27" s="7"/>
      <c r="M27" s="8"/>
      <c r="N27" s="8"/>
      <c r="O27" s="6">
        <f t="shared" si="0"/>
        <v>0</v>
      </c>
      <c r="P27" s="6"/>
      <c r="Q27" s="6"/>
      <c r="R27" s="6">
        <f t="shared" si="3"/>
        <v>0</v>
      </c>
      <c r="S27" s="6"/>
      <c r="T27" s="6"/>
      <c r="U27" s="6">
        <f t="shared" si="2"/>
        <v>0</v>
      </c>
    </row>
    <row r="28" spans="1:21" hidden="1" x14ac:dyDescent="0.2">
      <c r="A28" s="6" t="s">
        <v>341</v>
      </c>
      <c r="B28" s="6" t="s">
        <v>342</v>
      </c>
      <c r="C28" s="6" t="s">
        <v>342</v>
      </c>
      <c r="D28" s="6" t="s">
        <v>342</v>
      </c>
      <c r="E28" s="6"/>
      <c r="F28" s="6">
        <v>26</v>
      </c>
      <c r="G28" s="6"/>
      <c r="H28" s="6"/>
      <c r="I28" s="6"/>
      <c r="J28" s="6"/>
      <c r="K28" s="6"/>
      <c r="L28" s="7"/>
      <c r="M28" s="8"/>
      <c r="N28" s="8"/>
      <c r="O28" s="6">
        <f t="shared" si="0"/>
        <v>0</v>
      </c>
      <c r="P28" s="6"/>
      <c r="Q28" s="6"/>
      <c r="R28" s="6">
        <f t="shared" si="3"/>
        <v>0</v>
      </c>
      <c r="S28" s="6"/>
      <c r="T28" s="6"/>
      <c r="U28" s="6">
        <f t="shared" si="2"/>
        <v>0</v>
      </c>
    </row>
    <row r="29" spans="1:21" hidden="1" x14ac:dyDescent="0.2">
      <c r="A29" s="6" t="s">
        <v>341</v>
      </c>
      <c r="B29" s="6" t="s">
        <v>342</v>
      </c>
      <c r="C29" s="6" t="s">
        <v>342</v>
      </c>
      <c r="D29" s="6" t="s">
        <v>342</v>
      </c>
      <c r="E29" s="6"/>
      <c r="F29" s="6">
        <v>27</v>
      </c>
      <c r="G29" s="6"/>
      <c r="H29" s="6"/>
      <c r="I29" s="6"/>
      <c r="J29" s="6"/>
      <c r="K29" s="6"/>
      <c r="L29" s="7"/>
      <c r="M29" s="8"/>
      <c r="N29" s="8"/>
      <c r="O29" s="6">
        <f t="shared" si="0"/>
        <v>0</v>
      </c>
      <c r="P29" s="6"/>
      <c r="Q29" s="6"/>
      <c r="R29" s="6">
        <f t="shared" si="3"/>
        <v>0</v>
      </c>
      <c r="S29" s="6"/>
      <c r="T29" s="6"/>
      <c r="U29" s="6">
        <f t="shared" si="2"/>
        <v>0</v>
      </c>
    </row>
    <row r="30" spans="1:21" hidden="1" x14ac:dyDescent="0.2">
      <c r="A30" s="6" t="s">
        <v>341</v>
      </c>
      <c r="B30" s="6" t="s">
        <v>342</v>
      </c>
      <c r="C30" s="6" t="s">
        <v>342</v>
      </c>
      <c r="D30" s="6" t="s">
        <v>342</v>
      </c>
      <c r="E30" s="6"/>
      <c r="F30" s="6">
        <v>28</v>
      </c>
      <c r="G30" s="6"/>
      <c r="H30" s="6"/>
      <c r="I30" s="6"/>
      <c r="J30" s="6"/>
      <c r="K30" s="6"/>
      <c r="L30" s="7"/>
      <c r="M30" s="8"/>
      <c r="N30" s="8"/>
      <c r="O30" s="6">
        <f t="shared" si="0"/>
        <v>0</v>
      </c>
      <c r="P30" s="6"/>
      <c r="Q30" s="6"/>
      <c r="R30" s="6">
        <f t="shared" si="3"/>
        <v>0</v>
      </c>
      <c r="S30" s="6"/>
      <c r="T30" s="6"/>
      <c r="U30" s="6">
        <f t="shared" si="2"/>
        <v>0</v>
      </c>
    </row>
    <row r="31" spans="1:21" hidden="1" x14ac:dyDescent="0.2">
      <c r="A31" s="6" t="s">
        <v>341</v>
      </c>
      <c r="B31" s="6" t="s">
        <v>342</v>
      </c>
      <c r="C31" s="6" t="s">
        <v>342</v>
      </c>
      <c r="D31" s="6" t="s">
        <v>342</v>
      </c>
      <c r="E31" s="6"/>
      <c r="F31" s="6">
        <v>29</v>
      </c>
      <c r="G31" s="6"/>
      <c r="H31" s="6"/>
      <c r="I31" s="6"/>
      <c r="J31" s="6"/>
      <c r="K31" s="6"/>
      <c r="L31" s="7"/>
      <c r="M31" s="8"/>
      <c r="N31" s="8"/>
      <c r="O31" s="6">
        <f t="shared" si="0"/>
        <v>0</v>
      </c>
      <c r="P31" s="6"/>
      <c r="Q31" s="6"/>
      <c r="R31" s="6">
        <f t="shared" si="3"/>
        <v>0</v>
      </c>
      <c r="S31" s="6"/>
      <c r="T31" s="6"/>
      <c r="U31" s="6">
        <f t="shared" si="2"/>
        <v>0</v>
      </c>
    </row>
    <row r="32" spans="1:21" hidden="1" x14ac:dyDescent="0.2">
      <c r="A32" s="6" t="s">
        <v>341</v>
      </c>
      <c r="B32" s="6" t="s">
        <v>342</v>
      </c>
      <c r="C32" s="6" t="s">
        <v>342</v>
      </c>
      <c r="D32" s="6" t="s">
        <v>342</v>
      </c>
      <c r="E32" s="6"/>
      <c r="F32" s="6">
        <v>30</v>
      </c>
      <c r="G32" s="6"/>
      <c r="H32" s="6"/>
      <c r="I32" s="6"/>
      <c r="J32" s="6"/>
      <c r="K32" s="6"/>
      <c r="L32" s="7"/>
      <c r="M32" s="8"/>
      <c r="N32" s="8"/>
      <c r="O32" s="6">
        <f t="shared" si="0"/>
        <v>0</v>
      </c>
      <c r="P32" s="6"/>
      <c r="Q32" s="6"/>
      <c r="R32" s="6">
        <f t="shared" si="3"/>
        <v>0</v>
      </c>
      <c r="S32" s="6"/>
      <c r="T32" s="6"/>
      <c r="U32" s="6">
        <f t="shared" si="2"/>
        <v>0</v>
      </c>
    </row>
    <row r="33" spans="1:21" s="9" customFormat="1" hidden="1" x14ac:dyDescent="0.2">
      <c r="A33" s="6" t="s">
        <v>341</v>
      </c>
      <c r="B33" s="6" t="s">
        <v>342</v>
      </c>
      <c r="C33" s="6" t="s">
        <v>342</v>
      </c>
      <c r="D33" s="6" t="s">
        <v>342</v>
      </c>
      <c r="E33" s="6"/>
      <c r="F33" s="6">
        <v>31</v>
      </c>
      <c r="G33" s="6"/>
      <c r="H33" s="6"/>
      <c r="I33" s="6"/>
      <c r="J33" s="6"/>
      <c r="K33" s="6"/>
      <c r="L33" s="7"/>
      <c r="M33" s="8"/>
      <c r="N33" s="8"/>
      <c r="O33" s="6">
        <f t="shared" si="0"/>
        <v>0</v>
      </c>
      <c r="P33" s="6"/>
      <c r="Q33" s="6"/>
      <c r="R33" s="6">
        <f t="shared" si="3"/>
        <v>0</v>
      </c>
      <c r="S33" s="6"/>
      <c r="T33" s="6"/>
      <c r="U33" s="6">
        <f t="shared" si="2"/>
        <v>0</v>
      </c>
    </row>
    <row r="34" spans="1:21" hidden="1" x14ac:dyDescent="0.2">
      <c r="A34" s="6" t="s">
        <v>341</v>
      </c>
      <c r="B34" s="6" t="s">
        <v>342</v>
      </c>
      <c r="C34" s="6" t="s">
        <v>342</v>
      </c>
      <c r="D34" s="6" t="s">
        <v>342</v>
      </c>
      <c r="E34" s="6"/>
      <c r="F34" s="6">
        <v>32</v>
      </c>
      <c r="G34" s="6"/>
      <c r="H34" s="6"/>
      <c r="I34" s="6"/>
      <c r="J34" s="6"/>
      <c r="K34" s="6"/>
      <c r="L34" s="7"/>
      <c r="M34" s="6"/>
      <c r="N34" s="6"/>
      <c r="O34" s="6">
        <f t="shared" si="0"/>
        <v>0</v>
      </c>
      <c r="P34" s="6"/>
      <c r="Q34" s="6"/>
      <c r="R34" s="6">
        <f t="shared" si="3"/>
        <v>0</v>
      </c>
      <c r="S34" s="6"/>
      <c r="T34" s="6"/>
      <c r="U34" s="6">
        <f t="shared" si="2"/>
        <v>0</v>
      </c>
    </row>
    <row r="35" spans="1:21" hidden="1" x14ac:dyDescent="0.2">
      <c r="A35" s="6" t="s">
        <v>341</v>
      </c>
      <c r="B35" s="6" t="s">
        <v>342</v>
      </c>
      <c r="C35" s="6" t="s">
        <v>342</v>
      </c>
      <c r="D35" s="6" t="s">
        <v>342</v>
      </c>
      <c r="E35" s="6"/>
      <c r="F35" s="6">
        <v>33</v>
      </c>
      <c r="G35" s="6"/>
      <c r="H35" s="6"/>
      <c r="I35" s="6"/>
      <c r="J35" s="6"/>
      <c r="K35" s="6"/>
      <c r="L35" s="7"/>
      <c r="M35" s="6"/>
      <c r="N35" s="6"/>
      <c r="O35" s="6">
        <f t="shared" si="0"/>
        <v>0</v>
      </c>
      <c r="P35" s="6"/>
      <c r="Q35" s="6"/>
      <c r="R35" s="6">
        <f t="shared" si="3"/>
        <v>0</v>
      </c>
      <c r="S35" s="6"/>
      <c r="T35" s="6"/>
      <c r="U35" s="6">
        <f t="shared" si="2"/>
        <v>0</v>
      </c>
    </row>
    <row r="36" spans="1:21" hidden="1" x14ac:dyDescent="0.2">
      <c r="A36" s="6" t="s">
        <v>341</v>
      </c>
      <c r="B36" s="6" t="s">
        <v>342</v>
      </c>
      <c r="C36" s="6" t="s">
        <v>342</v>
      </c>
      <c r="D36" s="6" t="s">
        <v>342</v>
      </c>
      <c r="E36" s="6"/>
      <c r="F36" s="6">
        <v>34</v>
      </c>
      <c r="G36" s="6"/>
      <c r="H36" s="6"/>
      <c r="I36" s="6"/>
      <c r="J36" s="6"/>
      <c r="K36" s="6"/>
      <c r="L36" s="7"/>
      <c r="M36" s="6"/>
      <c r="N36" s="6"/>
      <c r="O36" s="6">
        <f t="shared" si="0"/>
        <v>0</v>
      </c>
      <c r="P36" s="6"/>
      <c r="Q36" s="6"/>
      <c r="R36" s="6">
        <f t="shared" si="3"/>
        <v>0</v>
      </c>
      <c r="S36" s="6"/>
      <c r="T36" s="6"/>
      <c r="U36" s="6">
        <f t="shared" si="2"/>
        <v>0</v>
      </c>
    </row>
    <row r="37" spans="1:21" hidden="1" x14ac:dyDescent="0.2">
      <c r="A37" s="6" t="s">
        <v>341</v>
      </c>
      <c r="B37" s="6" t="s">
        <v>342</v>
      </c>
      <c r="C37" s="6" t="s">
        <v>342</v>
      </c>
      <c r="D37" s="6" t="s">
        <v>342</v>
      </c>
      <c r="E37" s="6"/>
      <c r="F37" s="6">
        <v>35</v>
      </c>
      <c r="G37" s="6"/>
      <c r="H37" s="6"/>
      <c r="I37" s="6"/>
      <c r="J37" s="6"/>
      <c r="K37" s="6"/>
      <c r="L37" s="7"/>
      <c r="M37" s="6"/>
      <c r="N37" s="6"/>
      <c r="O37" s="6">
        <f t="shared" si="0"/>
        <v>0</v>
      </c>
      <c r="P37" s="6"/>
      <c r="Q37" s="6"/>
      <c r="R37" s="6">
        <f t="shared" si="3"/>
        <v>0</v>
      </c>
      <c r="S37" s="6"/>
      <c r="T37" s="6"/>
      <c r="U37" s="6">
        <f t="shared" si="2"/>
        <v>0</v>
      </c>
    </row>
    <row r="38" spans="1:21" hidden="1" x14ac:dyDescent="0.2">
      <c r="A38" s="6" t="s">
        <v>341</v>
      </c>
      <c r="B38" s="6" t="s">
        <v>342</v>
      </c>
      <c r="C38" s="6" t="s">
        <v>342</v>
      </c>
      <c r="D38" s="6" t="s">
        <v>342</v>
      </c>
      <c r="E38" s="6"/>
      <c r="F38" s="6">
        <v>36</v>
      </c>
      <c r="G38" s="6"/>
      <c r="H38" s="6"/>
      <c r="I38" s="6"/>
      <c r="J38" s="6"/>
      <c r="K38" s="6"/>
      <c r="L38" s="7"/>
      <c r="M38" s="6"/>
      <c r="N38" s="6"/>
      <c r="O38" s="6">
        <f t="shared" si="0"/>
        <v>0</v>
      </c>
      <c r="P38" s="6"/>
      <c r="Q38" s="6"/>
      <c r="R38" s="6">
        <f t="shared" si="3"/>
        <v>0</v>
      </c>
      <c r="S38" s="6"/>
      <c r="T38" s="6"/>
      <c r="U38" s="6">
        <f t="shared" si="2"/>
        <v>0</v>
      </c>
    </row>
    <row r="39" spans="1:21" hidden="1" x14ac:dyDescent="0.2">
      <c r="A39" s="6" t="s">
        <v>341</v>
      </c>
      <c r="B39" s="6" t="s">
        <v>342</v>
      </c>
      <c r="C39" s="6" t="s">
        <v>342</v>
      </c>
      <c r="D39" s="6" t="s">
        <v>342</v>
      </c>
      <c r="E39" s="6"/>
      <c r="F39" s="6">
        <v>37</v>
      </c>
      <c r="G39" s="6"/>
      <c r="H39" s="6"/>
      <c r="I39" s="6"/>
      <c r="J39" s="6"/>
      <c r="K39" s="6"/>
      <c r="L39" s="7"/>
      <c r="M39" s="6"/>
      <c r="N39" s="6"/>
      <c r="O39" s="6">
        <f t="shared" si="0"/>
        <v>0</v>
      </c>
      <c r="P39" s="6"/>
      <c r="Q39" s="6"/>
      <c r="R39" s="6">
        <f t="shared" si="3"/>
        <v>0</v>
      </c>
      <c r="S39" s="6"/>
      <c r="T39" s="6"/>
      <c r="U39" s="6">
        <f t="shared" si="2"/>
        <v>0</v>
      </c>
    </row>
    <row r="40" spans="1:21" hidden="1" x14ac:dyDescent="0.2">
      <c r="A40" s="6" t="s">
        <v>341</v>
      </c>
      <c r="B40" s="6" t="s">
        <v>342</v>
      </c>
      <c r="C40" s="6" t="s">
        <v>342</v>
      </c>
      <c r="D40" s="6" t="s">
        <v>342</v>
      </c>
      <c r="E40" s="6"/>
      <c r="F40" s="6">
        <v>38</v>
      </c>
      <c r="G40" s="6"/>
      <c r="H40" s="6"/>
      <c r="I40" s="6"/>
      <c r="J40" s="6"/>
      <c r="K40" s="6"/>
      <c r="L40" s="7"/>
      <c r="M40" s="6"/>
      <c r="N40" s="6"/>
      <c r="O40" s="6">
        <f t="shared" si="0"/>
        <v>0</v>
      </c>
      <c r="P40" s="6"/>
      <c r="Q40" s="6"/>
      <c r="R40" s="6">
        <f t="shared" si="3"/>
        <v>0</v>
      </c>
      <c r="S40" s="6"/>
      <c r="T40" s="6"/>
      <c r="U40" s="6">
        <f t="shared" si="2"/>
        <v>0</v>
      </c>
    </row>
    <row r="41" spans="1:21" hidden="1" x14ac:dyDescent="0.2">
      <c r="A41" s="6" t="s">
        <v>341</v>
      </c>
      <c r="B41" s="6" t="s">
        <v>342</v>
      </c>
      <c r="C41" s="6" t="s">
        <v>342</v>
      </c>
      <c r="D41" s="6" t="s">
        <v>342</v>
      </c>
      <c r="E41" s="6"/>
      <c r="F41" s="6">
        <v>39</v>
      </c>
      <c r="G41" s="6"/>
      <c r="H41" s="6"/>
      <c r="I41" s="6"/>
      <c r="J41" s="6"/>
      <c r="K41" s="6"/>
      <c r="L41" s="7"/>
      <c r="M41" s="6"/>
      <c r="N41" s="6"/>
      <c r="O41" s="6">
        <f t="shared" si="0"/>
        <v>0</v>
      </c>
      <c r="P41" s="6"/>
      <c r="Q41" s="6"/>
      <c r="R41" s="6">
        <f t="shared" si="3"/>
        <v>0</v>
      </c>
      <c r="S41" s="6"/>
      <c r="T41" s="6"/>
      <c r="U41" s="6">
        <f t="shared" si="2"/>
        <v>0</v>
      </c>
    </row>
    <row r="42" spans="1:21" hidden="1" x14ac:dyDescent="0.2">
      <c r="A42" s="6" t="s">
        <v>341</v>
      </c>
      <c r="B42" s="6" t="s">
        <v>342</v>
      </c>
      <c r="C42" s="6" t="s">
        <v>342</v>
      </c>
      <c r="D42" s="6" t="s">
        <v>342</v>
      </c>
      <c r="E42" s="6"/>
      <c r="F42" s="6">
        <v>40</v>
      </c>
      <c r="G42" s="6"/>
      <c r="H42" s="6"/>
      <c r="I42" s="6"/>
      <c r="J42" s="6"/>
      <c r="K42" s="6"/>
      <c r="L42" s="7"/>
      <c r="M42" s="6"/>
      <c r="N42" s="6"/>
      <c r="O42" s="6">
        <f t="shared" si="0"/>
        <v>0</v>
      </c>
      <c r="P42" s="6"/>
      <c r="Q42" s="6"/>
      <c r="R42" s="6">
        <f t="shared" si="3"/>
        <v>0</v>
      </c>
      <c r="S42" s="6"/>
      <c r="T42" s="6"/>
      <c r="U42" s="6">
        <f t="shared" si="2"/>
        <v>0</v>
      </c>
    </row>
    <row r="43" spans="1:21" hidden="1" x14ac:dyDescent="0.2">
      <c r="A43" s="6" t="s">
        <v>341</v>
      </c>
      <c r="B43" s="6" t="s">
        <v>342</v>
      </c>
      <c r="C43" s="6" t="s">
        <v>342</v>
      </c>
      <c r="D43" s="6" t="s">
        <v>342</v>
      </c>
      <c r="E43" s="6"/>
      <c r="F43" s="6">
        <v>41</v>
      </c>
      <c r="G43" s="6"/>
      <c r="H43" s="6"/>
      <c r="I43" s="6"/>
      <c r="J43" s="6"/>
      <c r="K43" s="6"/>
      <c r="L43" s="7"/>
      <c r="M43" s="6"/>
      <c r="N43" s="6"/>
      <c r="O43" s="6">
        <f t="shared" si="0"/>
        <v>0</v>
      </c>
      <c r="P43" s="6"/>
      <c r="Q43" s="6"/>
      <c r="R43" s="6">
        <f t="shared" si="3"/>
        <v>0</v>
      </c>
      <c r="S43" s="6"/>
      <c r="T43" s="6"/>
      <c r="U43" s="6">
        <f t="shared" si="2"/>
        <v>0</v>
      </c>
    </row>
    <row r="44" spans="1:21" hidden="1" x14ac:dyDescent="0.2">
      <c r="A44" s="6" t="s">
        <v>341</v>
      </c>
      <c r="B44" s="6" t="s">
        <v>342</v>
      </c>
      <c r="C44" s="6" t="s">
        <v>342</v>
      </c>
      <c r="D44" s="6" t="s">
        <v>342</v>
      </c>
      <c r="E44" s="6"/>
      <c r="F44" s="6">
        <v>42</v>
      </c>
      <c r="G44" s="6"/>
      <c r="H44" s="6"/>
      <c r="I44" s="6"/>
      <c r="J44" s="6"/>
      <c r="K44" s="6"/>
      <c r="L44" s="7"/>
      <c r="M44" s="6"/>
      <c r="N44" s="6"/>
      <c r="O44" s="6">
        <f t="shared" si="0"/>
        <v>0</v>
      </c>
      <c r="P44" s="6"/>
      <c r="Q44" s="6"/>
      <c r="R44" s="6">
        <f t="shared" si="3"/>
        <v>0</v>
      </c>
      <c r="S44" s="6"/>
      <c r="T44" s="6"/>
      <c r="U44" s="6">
        <f t="shared" si="2"/>
        <v>0</v>
      </c>
    </row>
    <row r="45" spans="1:21" hidden="1" x14ac:dyDescent="0.2">
      <c r="A45" s="6" t="s">
        <v>341</v>
      </c>
      <c r="B45" s="6" t="s">
        <v>342</v>
      </c>
      <c r="C45" s="6" t="s">
        <v>342</v>
      </c>
      <c r="D45" s="6" t="s">
        <v>342</v>
      </c>
      <c r="E45" s="6"/>
      <c r="F45" s="6">
        <v>43</v>
      </c>
      <c r="G45" s="6"/>
      <c r="H45" s="6"/>
      <c r="I45" s="6"/>
      <c r="J45" s="6"/>
      <c r="K45" s="6"/>
      <c r="L45" s="7"/>
      <c r="M45" s="6"/>
      <c r="N45" s="6"/>
      <c r="O45" s="6">
        <f t="shared" si="0"/>
        <v>0</v>
      </c>
      <c r="P45" s="6"/>
      <c r="Q45" s="6"/>
      <c r="R45" s="6">
        <f t="shared" si="3"/>
        <v>0</v>
      </c>
      <c r="S45" s="6"/>
      <c r="T45" s="6"/>
      <c r="U45" s="6">
        <f t="shared" si="2"/>
        <v>0</v>
      </c>
    </row>
    <row r="46" spans="1:21" hidden="1" x14ac:dyDescent="0.2">
      <c r="A46" s="6" t="s">
        <v>341</v>
      </c>
      <c r="B46" s="6" t="s">
        <v>342</v>
      </c>
      <c r="C46" s="6" t="s">
        <v>342</v>
      </c>
      <c r="D46" s="6" t="s">
        <v>342</v>
      </c>
      <c r="E46" s="6"/>
      <c r="F46" s="6">
        <v>44</v>
      </c>
      <c r="G46" s="6"/>
      <c r="H46" s="6"/>
      <c r="I46" s="6"/>
      <c r="J46" s="6"/>
      <c r="K46" s="6"/>
      <c r="L46" s="7"/>
      <c r="M46" s="6"/>
      <c r="N46" s="6"/>
      <c r="O46" s="6">
        <f t="shared" si="0"/>
        <v>0</v>
      </c>
      <c r="P46" s="6"/>
      <c r="Q46" s="6"/>
      <c r="R46" s="6">
        <f t="shared" si="3"/>
        <v>0</v>
      </c>
      <c r="S46" s="6"/>
      <c r="T46" s="6"/>
      <c r="U46" s="6">
        <f t="shared" si="2"/>
        <v>0</v>
      </c>
    </row>
    <row r="47" spans="1:21" hidden="1" x14ac:dyDescent="0.2">
      <c r="A47" s="6" t="s">
        <v>341</v>
      </c>
      <c r="B47" s="6" t="s">
        <v>342</v>
      </c>
      <c r="C47" s="6" t="s">
        <v>342</v>
      </c>
      <c r="D47" s="6" t="s">
        <v>342</v>
      </c>
      <c r="E47" s="6"/>
      <c r="F47" s="6">
        <v>45</v>
      </c>
      <c r="G47" s="6"/>
      <c r="H47" s="6"/>
      <c r="I47" s="6"/>
      <c r="J47" s="6"/>
      <c r="K47" s="6"/>
      <c r="L47" s="7"/>
      <c r="M47" s="6"/>
      <c r="N47" s="6"/>
      <c r="O47" s="6">
        <f t="shared" si="0"/>
        <v>0</v>
      </c>
      <c r="P47" s="6"/>
      <c r="Q47" s="6"/>
      <c r="R47" s="6">
        <f t="shared" si="3"/>
        <v>0</v>
      </c>
      <c r="S47" s="6"/>
      <c r="T47" s="6"/>
      <c r="U47" s="6">
        <f t="shared" si="2"/>
        <v>0</v>
      </c>
    </row>
    <row r="48" spans="1:21" hidden="1" x14ac:dyDescent="0.2">
      <c r="A48" s="6" t="s">
        <v>341</v>
      </c>
      <c r="B48" s="6" t="s">
        <v>342</v>
      </c>
      <c r="C48" s="6" t="s">
        <v>342</v>
      </c>
      <c r="D48" s="6" t="s">
        <v>342</v>
      </c>
      <c r="E48" s="6"/>
      <c r="F48" s="6">
        <v>46</v>
      </c>
      <c r="G48" s="6"/>
      <c r="H48" s="6"/>
      <c r="I48" s="6"/>
      <c r="J48" s="6"/>
      <c r="K48" s="6"/>
      <c r="L48" s="7"/>
      <c r="M48" s="6"/>
      <c r="N48" s="6"/>
      <c r="O48" s="6">
        <f t="shared" si="0"/>
        <v>0</v>
      </c>
      <c r="P48" s="6"/>
      <c r="Q48" s="6"/>
      <c r="R48" s="6">
        <f t="shared" si="3"/>
        <v>0</v>
      </c>
      <c r="S48" s="6"/>
      <c r="T48" s="6"/>
      <c r="U48" s="6">
        <f t="shared" si="2"/>
        <v>0</v>
      </c>
    </row>
    <row r="49" spans="1:21" hidden="1" x14ac:dyDescent="0.2">
      <c r="A49" s="6" t="s">
        <v>341</v>
      </c>
      <c r="B49" s="6" t="s">
        <v>342</v>
      </c>
      <c r="C49" s="6" t="s">
        <v>342</v>
      </c>
      <c r="D49" s="6" t="s">
        <v>342</v>
      </c>
      <c r="E49" s="6"/>
      <c r="F49" s="6">
        <v>47</v>
      </c>
      <c r="G49" s="6"/>
      <c r="H49" s="6"/>
      <c r="I49" s="6"/>
      <c r="J49" s="6"/>
      <c r="K49" s="6"/>
      <c r="L49" s="7"/>
      <c r="M49" s="6"/>
      <c r="N49" s="6"/>
      <c r="O49" s="6">
        <f t="shared" si="0"/>
        <v>0</v>
      </c>
      <c r="P49" s="6"/>
      <c r="Q49" s="6"/>
      <c r="R49" s="6">
        <f t="shared" si="3"/>
        <v>0</v>
      </c>
      <c r="S49" s="6"/>
      <c r="T49" s="6"/>
      <c r="U49" s="6">
        <f t="shared" si="2"/>
        <v>0</v>
      </c>
    </row>
    <row r="50" spans="1:21" hidden="1" x14ac:dyDescent="0.2">
      <c r="A50" s="6" t="s">
        <v>341</v>
      </c>
      <c r="B50" s="6" t="s">
        <v>342</v>
      </c>
      <c r="C50" s="6" t="s">
        <v>342</v>
      </c>
      <c r="D50" s="6" t="s">
        <v>342</v>
      </c>
      <c r="E50" s="6"/>
      <c r="F50" s="6">
        <v>48</v>
      </c>
      <c r="G50" s="6"/>
      <c r="H50" s="6"/>
      <c r="I50" s="6"/>
      <c r="J50" s="6"/>
      <c r="K50" s="6"/>
      <c r="L50" s="7"/>
      <c r="M50" s="6"/>
      <c r="N50" s="6"/>
      <c r="O50" s="6">
        <f t="shared" si="0"/>
        <v>0</v>
      </c>
      <c r="P50" s="6"/>
      <c r="Q50" s="6"/>
      <c r="R50" s="6">
        <f t="shared" si="3"/>
        <v>0</v>
      </c>
      <c r="S50" s="6"/>
      <c r="T50" s="6"/>
      <c r="U50" s="6">
        <f t="shared" si="2"/>
        <v>0</v>
      </c>
    </row>
    <row r="51" spans="1:21" hidden="1" x14ac:dyDescent="0.2">
      <c r="A51" s="6" t="s">
        <v>341</v>
      </c>
      <c r="B51" s="6" t="s">
        <v>342</v>
      </c>
      <c r="C51" s="6" t="s">
        <v>342</v>
      </c>
      <c r="D51" s="6" t="s">
        <v>342</v>
      </c>
      <c r="E51" s="6"/>
      <c r="F51" s="6">
        <v>49</v>
      </c>
      <c r="G51" s="6"/>
      <c r="H51" s="6"/>
      <c r="I51" s="6"/>
      <c r="J51" s="6"/>
      <c r="K51" s="6"/>
      <c r="L51" s="7"/>
      <c r="M51" s="6"/>
      <c r="N51" s="6"/>
      <c r="O51" s="6">
        <f t="shared" si="0"/>
        <v>0</v>
      </c>
      <c r="P51" s="6"/>
      <c r="Q51" s="6"/>
      <c r="R51" s="6">
        <f t="shared" si="3"/>
        <v>0</v>
      </c>
      <c r="S51" s="6"/>
      <c r="T51" s="6"/>
      <c r="U51" s="6">
        <f t="shared" si="2"/>
        <v>0</v>
      </c>
    </row>
    <row r="52" spans="1:21" hidden="1" x14ac:dyDescent="0.2">
      <c r="A52" s="6" t="s">
        <v>341</v>
      </c>
      <c r="B52" s="6" t="s">
        <v>342</v>
      </c>
      <c r="C52" s="6" t="s">
        <v>342</v>
      </c>
      <c r="D52" s="6" t="s">
        <v>342</v>
      </c>
      <c r="E52" s="6"/>
      <c r="F52" s="6">
        <v>50</v>
      </c>
      <c r="G52" s="6"/>
      <c r="H52" s="6"/>
      <c r="I52" s="6"/>
      <c r="J52" s="6"/>
      <c r="K52" s="6"/>
      <c r="L52" s="7"/>
      <c r="M52" s="6"/>
      <c r="N52" s="6"/>
      <c r="O52" s="6">
        <f t="shared" si="0"/>
        <v>0</v>
      </c>
      <c r="P52" s="6"/>
      <c r="Q52" s="6"/>
      <c r="R52" s="6">
        <f t="shared" si="3"/>
        <v>0</v>
      </c>
      <c r="S52" s="6"/>
      <c r="T52" s="6"/>
      <c r="U52" s="6">
        <f t="shared" si="2"/>
        <v>0</v>
      </c>
    </row>
    <row r="53" spans="1:21" hidden="1" x14ac:dyDescent="0.2">
      <c r="A53" s="6" t="s">
        <v>341</v>
      </c>
      <c r="B53" s="6" t="s">
        <v>342</v>
      </c>
      <c r="C53" s="6" t="s">
        <v>342</v>
      </c>
      <c r="D53" s="6" t="s">
        <v>342</v>
      </c>
      <c r="E53" s="6"/>
      <c r="F53" s="6">
        <v>51</v>
      </c>
      <c r="G53" s="6"/>
      <c r="H53" s="6"/>
      <c r="I53" s="6"/>
      <c r="J53" s="6"/>
      <c r="K53" s="6"/>
      <c r="L53" s="7"/>
      <c r="M53" s="6"/>
      <c r="N53" s="6"/>
      <c r="O53" s="6">
        <f t="shared" si="0"/>
        <v>0</v>
      </c>
      <c r="P53" s="6"/>
      <c r="Q53" s="6"/>
      <c r="R53" s="6">
        <f t="shared" si="3"/>
        <v>0</v>
      </c>
      <c r="S53" s="6"/>
      <c r="T53" s="6"/>
      <c r="U53" s="6">
        <f t="shared" si="2"/>
        <v>0</v>
      </c>
    </row>
    <row r="54" spans="1:21" hidden="1" x14ac:dyDescent="0.2">
      <c r="A54" s="6" t="s">
        <v>341</v>
      </c>
      <c r="B54" s="6" t="s">
        <v>342</v>
      </c>
      <c r="C54" s="6" t="s">
        <v>342</v>
      </c>
      <c r="D54" s="6" t="s">
        <v>342</v>
      </c>
      <c r="E54" s="6"/>
      <c r="F54" s="6">
        <v>52</v>
      </c>
      <c r="G54" s="6"/>
      <c r="H54" s="6"/>
      <c r="I54" s="6"/>
      <c r="J54" s="6"/>
      <c r="K54" s="6"/>
      <c r="L54" s="7"/>
      <c r="M54" s="6"/>
      <c r="N54" s="6"/>
      <c r="O54" s="6">
        <f t="shared" si="0"/>
        <v>0</v>
      </c>
      <c r="P54" s="6"/>
      <c r="Q54" s="6"/>
      <c r="R54" s="6">
        <f t="shared" si="3"/>
        <v>0</v>
      </c>
      <c r="S54" s="6"/>
      <c r="T54" s="6"/>
      <c r="U54" s="6">
        <f t="shared" si="2"/>
        <v>0</v>
      </c>
    </row>
    <row r="55" spans="1:21" hidden="1" x14ac:dyDescent="0.2">
      <c r="A55" s="6" t="s">
        <v>341</v>
      </c>
      <c r="B55" s="6" t="s">
        <v>342</v>
      </c>
      <c r="C55" s="6" t="s">
        <v>342</v>
      </c>
      <c r="D55" s="6" t="s">
        <v>342</v>
      </c>
      <c r="E55" s="6"/>
      <c r="F55" s="6">
        <v>53</v>
      </c>
      <c r="G55" s="6"/>
      <c r="H55" s="6"/>
      <c r="I55" s="6"/>
      <c r="J55" s="6"/>
      <c r="K55" s="6"/>
      <c r="L55" s="7"/>
      <c r="M55" s="6"/>
      <c r="N55" s="6"/>
      <c r="O55" s="6">
        <f t="shared" si="0"/>
        <v>0</v>
      </c>
      <c r="P55" s="6"/>
      <c r="Q55" s="6"/>
      <c r="R55" s="6">
        <f t="shared" si="3"/>
        <v>0</v>
      </c>
      <c r="S55" s="6"/>
      <c r="T55" s="6"/>
      <c r="U55" s="6">
        <f t="shared" si="2"/>
        <v>0</v>
      </c>
    </row>
    <row r="56" spans="1:21" hidden="1" x14ac:dyDescent="0.2">
      <c r="A56" s="6" t="s">
        <v>341</v>
      </c>
      <c r="B56" s="6" t="s">
        <v>342</v>
      </c>
      <c r="C56" s="6" t="s">
        <v>342</v>
      </c>
      <c r="D56" s="6" t="s">
        <v>342</v>
      </c>
      <c r="E56" s="6"/>
      <c r="F56" s="6">
        <v>54</v>
      </c>
      <c r="G56" s="6"/>
      <c r="H56" s="6"/>
      <c r="I56" s="6"/>
      <c r="J56" s="6"/>
      <c r="K56" s="6"/>
      <c r="L56" s="7"/>
      <c r="M56" s="6"/>
      <c r="N56" s="6"/>
      <c r="O56" s="6">
        <f t="shared" si="0"/>
        <v>0</v>
      </c>
      <c r="P56" s="6"/>
      <c r="Q56" s="6"/>
      <c r="R56" s="6">
        <f t="shared" si="3"/>
        <v>0</v>
      </c>
      <c r="S56" s="6"/>
      <c r="T56" s="6"/>
      <c r="U56" s="6">
        <f t="shared" si="2"/>
        <v>0</v>
      </c>
    </row>
    <row r="57" spans="1:21" hidden="1" x14ac:dyDescent="0.2">
      <c r="A57" s="6" t="s">
        <v>341</v>
      </c>
      <c r="B57" s="6" t="s">
        <v>342</v>
      </c>
      <c r="C57" s="6" t="s">
        <v>342</v>
      </c>
      <c r="D57" s="6" t="s">
        <v>342</v>
      </c>
      <c r="E57" s="6"/>
      <c r="F57" s="6">
        <v>55</v>
      </c>
      <c r="G57" s="6"/>
      <c r="H57" s="6"/>
      <c r="I57" s="6"/>
      <c r="J57" s="6"/>
      <c r="K57" s="6"/>
      <c r="L57" s="7"/>
      <c r="M57" s="6"/>
      <c r="N57" s="6"/>
      <c r="O57" s="6">
        <f t="shared" si="0"/>
        <v>0</v>
      </c>
      <c r="P57" s="6"/>
      <c r="Q57" s="6"/>
      <c r="R57" s="6">
        <f t="shared" si="3"/>
        <v>0</v>
      </c>
      <c r="S57" s="6"/>
      <c r="T57" s="6"/>
      <c r="U57" s="6">
        <f t="shared" si="2"/>
        <v>0</v>
      </c>
    </row>
    <row r="58" spans="1:21" hidden="1" x14ac:dyDescent="0.2">
      <c r="A58" s="6" t="s">
        <v>341</v>
      </c>
      <c r="B58" s="6" t="s">
        <v>342</v>
      </c>
      <c r="C58" s="6" t="s">
        <v>342</v>
      </c>
      <c r="D58" s="6" t="s">
        <v>342</v>
      </c>
      <c r="E58" s="6"/>
      <c r="F58" s="6">
        <v>56</v>
      </c>
      <c r="G58" s="6"/>
      <c r="H58" s="6"/>
      <c r="I58" s="6"/>
      <c r="J58" s="6"/>
      <c r="K58" s="6"/>
      <c r="L58" s="7"/>
      <c r="M58" s="6"/>
      <c r="N58" s="6"/>
      <c r="O58" s="6">
        <f t="shared" si="0"/>
        <v>0</v>
      </c>
      <c r="P58" s="6"/>
      <c r="Q58" s="6"/>
      <c r="R58" s="6">
        <f t="shared" si="3"/>
        <v>0</v>
      </c>
      <c r="S58" s="6"/>
      <c r="T58" s="6"/>
      <c r="U58" s="6">
        <f t="shared" si="2"/>
        <v>0</v>
      </c>
    </row>
    <row r="59" spans="1:21" hidden="1" x14ac:dyDescent="0.2">
      <c r="A59" s="6" t="s">
        <v>341</v>
      </c>
      <c r="B59" s="6" t="s">
        <v>342</v>
      </c>
      <c r="C59" s="6" t="s">
        <v>342</v>
      </c>
      <c r="D59" s="6" t="s">
        <v>342</v>
      </c>
      <c r="E59" s="6"/>
      <c r="F59" s="6">
        <v>57</v>
      </c>
      <c r="G59" s="6"/>
      <c r="H59" s="6"/>
      <c r="I59" s="6"/>
      <c r="J59" s="6"/>
      <c r="K59" s="6"/>
      <c r="L59" s="7"/>
      <c r="M59" s="6"/>
      <c r="N59" s="6"/>
      <c r="O59" s="6">
        <f t="shared" si="0"/>
        <v>0</v>
      </c>
      <c r="P59" s="6"/>
      <c r="Q59" s="6"/>
      <c r="R59" s="6">
        <f t="shared" si="3"/>
        <v>0</v>
      </c>
      <c r="S59" s="6"/>
      <c r="T59" s="6"/>
      <c r="U59" s="6">
        <f t="shared" si="2"/>
        <v>0</v>
      </c>
    </row>
    <row r="60" spans="1:21" hidden="1" x14ac:dyDescent="0.2">
      <c r="A60" s="6" t="s">
        <v>341</v>
      </c>
      <c r="B60" s="6" t="s">
        <v>342</v>
      </c>
      <c r="C60" s="6" t="s">
        <v>342</v>
      </c>
      <c r="D60" s="6" t="s">
        <v>342</v>
      </c>
      <c r="E60" s="6"/>
      <c r="F60" s="6">
        <v>58</v>
      </c>
      <c r="G60" s="6"/>
      <c r="H60" s="6"/>
      <c r="I60" s="6"/>
      <c r="J60" s="6"/>
      <c r="K60" s="6"/>
      <c r="L60" s="7"/>
      <c r="M60" s="6"/>
      <c r="N60" s="6"/>
      <c r="O60" s="6">
        <f t="shared" si="0"/>
        <v>0</v>
      </c>
      <c r="P60" s="6"/>
      <c r="Q60" s="6"/>
      <c r="R60" s="6">
        <f t="shared" si="3"/>
        <v>0</v>
      </c>
      <c r="S60" s="6"/>
      <c r="T60" s="6"/>
      <c r="U60" s="6">
        <f t="shared" si="2"/>
        <v>0</v>
      </c>
    </row>
    <row r="61" spans="1:21" hidden="1" x14ac:dyDescent="0.2">
      <c r="A61" s="6" t="s">
        <v>341</v>
      </c>
      <c r="B61" s="6" t="s">
        <v>342</v>
      </c>
      <c r="C61" s="6" t="s">
        <v>342</v>
      </c>
      <c r="D61" s="6" t="s">
        <v>342</v>
      </c>
      <c r="E61" s="6"/>
      <c r="F61" s="6">
        <v>59</v>
      </c>
      <c r="G61" s="6"/>
      <c r="H61" s="6"/>
      <c r="I61" s="6"/>
      <c r="J61" s="6"/>
      <c r="K61" s="6"/>
      <c r="L61" s="7"/>
      <c r="M61" s="6"/>
      <c r="N61" s="6"/>
      <c r="O61" s="6">
        <f t="shared" si="0"/>
        <v>0</v>
      </c>
      <c r="P61" s="6"/>
      <c r="Q61" s="6"/>
      <c r="R61" s="6">
        <f t="shared" si="3"/>
        <v>0</v>
      </c>
      <c r="S61" s="6"/>
      <c r="T61" s="6"/>
      <c r="U61" s="6">
        <f t="shared" si="2"/>
        <v>0</v>
      </c>
    </row>
    <row r="62" spans="1:21" hidden="1" x14ac:dyDescent="0.2">
      <c r="A62" s="6" t="s">
        <v>341</v>
      </c>
      <c r="B62" s="6" t="s">
        <v>342</v>
      </c>
      <c r="C62" s="6" t="s">
        <v>342</v>
      </c>
      <c r="D62" s="6" t="s">
        <v>342</v>
      </c>
      <c r="E62" s="6"/>
      <c r="F62" s="6">
        <v>60</v>
      </c>
      <c r="G62" s="6"/>
      <c r="H62" s="6"/>
      <c r="I62" s="6"/>
      <c r="J62" s="6"/>
      <c r="K62" s="6"/>
      <c r="L62" s="7"/>
      <c r="M62" s="6"/>
      <c r="N62" s="6"/>
      <c r="O62" s="6">
        <f t="shared" si="0"/>
        <v>0</v>
      </c>
      <c r="P62" s="6"/>
      <c r="Q62" s="6"/>
      <c r="R62" s="6">
        <f t="shared" si="3"/>
        <v>0</v>
      </c>
      <c r="S62" s="6"/>
      <c r="T62" s="6"/>
      <c r="U62" s="6">
        <f t="shared" si="2"/>
        <v>0</v>
      </c>
    </row>
    <row r="63" spans="1:21" hidden="1" x14ac:dyDescent="0.2">
      <c r="A63" s="6" t="s">
        <v>341</v>
      </c>
      <c r="B63" s="6" t="s">
        <v>342</v>
      </c>
      <c r="C63" s="6" t="s">
        <v>342</v>
      </c>
      <c r="D63" s="6" t="s">
        <v>342</v>
      </c>
      <c r="E63" s="6"/>
      <c r="F63" s="6">
        <v>61</v>
      </c>
      <c r="G63" s="6"/>
      <c r="H63" s="6"/>
      <c r="I63" s="6"/>
      <c r="J63" s="6"/>
      <c r="K63" s="6"/>
      <c r="L63" s="7"/>
      <c r="M63" s="6"/>
      <c r="N63" s="6"/>
      <c r="O63" s="6">
        <f t="shared" si="0"/>
        <v>0</v>
      </c>
      <c r="P63" s="6"/>
      <c r="Q63" s="6"/>
      <c r="R63" s="6">
        <f t="shared" si="3"/>
        <v>0</v>
      </c>
      <c r="S63" s="6"/>
      <c r="T63" s="6"/>
      <c r="U63" s="6">
        <f t="shared" si="2"/>
        <v>0</v>
      </c>
    </row>
    <row r="64" spans="1:21" hidden="1" x14ac:dyDescent="0.2">
      <c r="A64" s="6" t="s">
        <v>341</v>
      </c>
      <c r="B64" s="6" t="s">
        <v>342</v>
      </c>
      <c r="C64" s="6" t="s">
        <v>342</v>
      </c>
      <c r="D64" s="6" t="s">
        <v>342</v>
      </c>
      <c r="E64" s="6"/>
      <c r="F64" s="6">
        <v>62</v>
      </c>
      <c r="G64" s="6"/>
      <c r="H64" s="6"/>
      <c r="I64" s="6"/>
      <c r="J64" s="6"/>
      <c r="K64" s="6"/>
      <c r="L64" s="7"/>
      <c r="M64" s="6"/>
      <c r="N64" s="6"/>
      <c r="O64" s="6">
        <f t="shared" si="0"/>
        <v>0</v>
      </c>
      <c r="P64" s="6"/>
      <c r="Q64" s="6"/>
      <c r="R64" s="6">
        <f t="shared" si="3"/>
        <v>0</v>
      </c>
      <c r="S64" s="6"/>
      <c r="T64" s="6"/>
      <c r="U64" s="6">
        <f t="shared" si="2"/>
        <v>0</v>
      </c>
    </row>
    <row r="65" spans="1:21" hidden="1" x14ac:dyDescent="0.2">
      <c r="A65" s="6" t="s">
        <v>341</v>
      </c>
      <c r="B65" s="6" t="s">
        <v>342</v>
      </c>
      <c r="C65" s="6" t="s">
        <v>342</v>
      </c>
      <c r="D65" s="6" t="s">
        <v>342</v>
      </c>
      <c r="E65" s="6"/>
      <c r="F65" s="6">
        <v>63</v>
      </c>
      <c r="G65" s="6"/>
      <c r="H65" s="6"/>
      <c r="I65" s="6"/>
      <c r="J65" s="6"/>
      <c r="K65" s="6"/>
      <c r="L65" s="7"/>
      <c r="M65" s="6"/>
      <c r="N65" s="6"/>
      <c r="O65" s="6">
        <f t="shared" si="0"/>
        <v>0</v>
      </c>
      <c r="P65" s="6"/>
      <c r="Q65" s="6"/>
      <c r="R65" s="6">
        <f t="shared" si="3"/>
        <v>0</v>
      </c>
      <c r="S65" s="6"/>
      <c r="T65" s="6"/>
      <c r="U65" s="6">
        <f t="shared" si="2"/>
        <v>0</v>
      </c>
    </row>
    <row r="66" spans="1:21" hidden="1" x14ac:dyDescent="0.2">
      <c r="A66" s="6" t="s">
        <v>341</v>
      </c>
      <c r="B66" s="6" t="s">
        <v>342</v>
      </c>
      <c r="C66" s="6" t="s">
        <v>342</v>
      </c>
      <c r="D66" s="6" t="s">
        <v>342</v>
      </c>
      <c r="E66" s="6"/>
      <c r="F66" s="6">
        <v>64</v>
      </c>
      <c r="G66" s="6"/>
      <c r="H66" s="6"/>
      <c r="I66" s="6"/>
      <c r="J66" s="6"/>
      <c r="K66" s="6"/>
      <c r="L66" s="7"/>
      <c r="M66" s="6"/>
      <c r="N66" s="6"/>
      <c r="O66" s="6">
        <f t="shared" si="0"/>
        <v>0</v>
      </c>
      <c r="P66" s="6"/>
      <c r="Q66" s="6"/>
      <c r="R66" s="6">
        <f t="shared" si="3"/>
        <v>0</v>
      </c>
      <c r="S66" s="6"/>
      <c r="T66" s="6"/>
      <c r="U66" s="6">
        <f t="shared" si="2"/>
        <v>0</v>
      </c>
    </row>
    <row r="67" spans="1:21" hidden="1" x14ac:dyDescent="0.2">
      <c r="A67" s="6" t="s">
        <v>341</v>
      </c>
      <c r="B67" s="6" t="s">
        <v>342</v>
      </c>
      <c r="C67" s="6" t="s">
        <v>342</v>
      </c>
      <c r="D67" s="6" t="s">
        <v>342</v>
      </c>
      <c r="E67" s="6"/>
      <c r="F67" s="6">
        <v>65</v>
      </c>
      <c r="G67" s="6"/>
      <c r="H67" s="6"/>
      <c r="I67" s="6"/>
      <c r="J67" s="6"/>
      <c r="K67" s="6"/>
      <c r="L67" s="7"/>
      <c r="M67" s="6"/>
      <c r="N67" s="6"/>
      <c r="O67" s="6">
        <f t="shared" ref="O67:O130" si="4">IFERROR(N67-M67,"")</f>
        <v>0</v>
      </c>
      <c r="P67" s="6"/>
      <c r="Q67" s="6"/>
      <c r="R67" s="6">
        <f t="shared" si="3"/>
        <v>0</v>
      </c>
      <c r="S67" s="6"/>
      <c r="T67" s="6"/>
      <c r="U67" s="6">
        <f t="shared" ref="U67:U130" si="5">IFERROR(T67-S67,"")</f>
        <v>0</v>
      </c>
    </row>
    <row r="68" spans="1:21" hidden="1" x14ac:dyDescent="0.2">
      <c r="A68" s="6" t="s">
        <v>341</v>
      </c>
      <c r="B68" s="6" t="s">
        <v>342</v>
      </c>
      <c r="C68" s="6" t="s">
        <v>342</v>
      </c>
      <c r="D68" s="6" t="s">
        <v>342</v>
      </c>
      <c r="E68" s="6"/>
      <c r="F68" s="6">
        <v>66</v>
      </c>
      <c r="G68" s="6"/>
      <c r="H68" s="6"/>
      <c r="I68" s="6"/>
      <c r="J68" s="6"/>
      <c r="K68" s="6"/>
      <c r="L68" s="7"/>
      <c r="M68" s="6"/>
      <c r="N68" s="6"/>
      <c r="O68" s="6">
        <f t="shared" si="4"/>
        <v>0</v>
      </c>
      <c r="P68" s="6"/>
      <c r="Q68" s="6"/>
      <c r="R68" s="6">
        <f t="shared" si="3"/>
        <v>0</v>
      </c>
      <c r="S68" s="6"/>
      <c r="T68" s="6"/>
      <c r="U68" s="6">
        <f t="shared" si="5"/>
        <v>0</v>
      </c>
    </row>
    <row r="69" spans="1:21" hidden="1" x14ac:dyDescent="0.2">
      <c r="A69" s="6" t="s">
        <v>341</v>
      </c>
      <c r="B69" s="6" t="s">
        <v>342</v>
      </c>
      <c r="C69" s="6" t="s">
        <v>342</v>
      </c>
      <c r="D69" s="6" t="s">
        <v>342</v>
      </c>
      <c r="E69" s="6"/>
      <c r="F69" s="6">
        <v>67</v>
      </c>
      <c r="G69" s="6"/>
      <c r="H69" s="6"/>
      <c r="I69" s="6"/>
      <c r="J69" s="6"/>
      <c r="K69" s="6"/>
      <c r="L69" s="7"/>
      <c r="M69" s="6"/>
      <c r="N69" s="6"/>
      <c r="O69" s="6">
        <f t="shared" si="4"/>
        <v>0</v>
      </c>
      <c r="P69" s="6"/>
      <c r="Q69" s="6"/>
      <c r="R69" s="6">
        <f t="shared" si="3"/>
        <v>0</v>
      </c>
      <c r="S69" s="6"/>
      <c r="T69" s="6"/>
      <c r="U69" s="6">
        <f t="shared" si="5"/>
        <v>0</v>
      </c>
    </row>
    <row r="70" spans="1:21" hidden="1" x14ac:dyDescent="0.2">
      <c r="A70" s="6" t="s">
        <v>341</v>
      </c>
      <c r="B70" s="6" t="s">
        <v>342</v>
      </c>
      <c r="C70" s="6" t="s">
        <v>342</v>
      </c>
      <c r="D70" s="6" t="s">
        <v>342</v>
      </c>
      <c r="E70" s="6"/>
      <c r="F70" s="6">
        <v>68</v>
      </c>
      <c r="G70" s="6"/>
      <c r="H70" s="6"/>
      <c r="I70" s="6"/>
      <c r="J70" s="6"/>
      <c r="K70" s="6"/>
      <c r="L70" s="7"/>
      <c r="M70" s="6"/>
      <c r="N70" s="6"/>
      <c r="O70" s="6">
        <f t="shared" si="4"/>
        <v>0</v>
      </c>
      <c r="P70" s="6"/>
      <c r="Q70" s="6"/>
      <c r="R70" s="6">
        <f t="shared" si="3"/>
        <v>0</v>
      </c>
      <c r="S70" s="6"/>
      <c r="T70" s="6"/>
      <c r="U70" s="6">
        <f t="shared" si="5"/>
        <v>0</v>
      </c>
    </row>
    <row r="71" spans="1:21" hidden="1" x14ac:dyDescent="0.2">
      <c r="A71" s="6" t="s">
        <v>341</v>
      </c>
      <c r="B71" s="6" t="s">
        <v>342</v>
      </c>
      <c r="C71" s="6" t="s">
        <v>342</v>
      </c>
      <c r="D71" s="6" t="s">
        <v>342</v>
      </c>
      <c r="E71" s="6"/>
      <c r="F71" s="6">
        <v>69</v>
      </c>
      <c r="G71" s="6"/>
      <c r="H71" s="6"/>
      <c r="I71" s="6"/>
      <c r="J71" s="6"/>
      <c r="K71" s="6"/>
      <c r="L71" s="7"/>
      <c r="M71" s="6"/>
      <c r="N71" s="6"/>
      <c r="O71" s="6">
        <f t="shared" si="4"/>
        <v>0</v>
      </c>
      <c r="P71" s="6"/>
      <c r="Q71" s="6"/>
      <c r="R71" s="6">
        <f t="shared" si="3"/>
        <v>0</v>
      </c>
      <c r="S71" s="6"/>
      <c r="T71" s="6"/>
      <c r="U71" s="6">
        <f t="shared" si="5"/>
        <v>0</v>
      </c>
    </row>
    <row r="72" spans="1:21" hidden="1" x14ac:dyDescent="0.2">
      <c r="A72" s="6" t="s">
        <v>341</v>
      </c>
      <c r="B72" s="6" t="s">
        <v>342</v>
      </c>
      <c r="C72" s="6" t="s">
        <v>342</v>
      </c>
      <c r="D72" s="6" t="s">
        <v>342</v>
      </c>
      <c r="E72" s="6"/>
      <c r="F72" s="6">
        <v>70</v>
      </c>
      <c r="G72" s="6"/>
      <c r="H72" s="6"/>
      <c r="I72" s="6"/>
      <c r="J72" s="6"/>
      <c r="K72" s="6"/>
      <c r="L72" s="7"/>
      <c r="M72" s="6"/>
      <c r="N72" s="6"/>
      <c r="O72" s="6">
        <f t="shared" si="4"/>
        <v>0</v>
      </c>
      <c r="P72" s="6"/>
      <c r="Q72" s="6"/>
      <c r="R72" s="6">
        <f t="shared" si="3"/>
        <v>0</v>
      </c>
      <c r="S72" s="6"/>
      <c r="T72" s="6"/>
      <c r="U72" s="6">
        <f t="shared" si="5"/>
        <v>0</v>
      </c>
    </row>
    <row r="73" spans="1:21" hidden="1" x14ac:dyDescent="0.2">
      <c r="A73" s="6" t="s">
        <v>341</v>
      </c>
      <c r="B73" s="6" t="s">
        <v>342</v>
      </c>
      <c r="C73" s="6" t="s">
        <v>342</v>
      </c>
      <c r="D73" s="6" t="s">
        <v>342</v>
      </c>
      <c r="E73" s="6"/>
      <c r="F73" s="6">
        <v>71</v>
      </c>
      <c r="G73" s="6"/>
      <c r="H73" s="6"/>
      <c r="I73" s="6"/>
      <c r="J73" s="6"/>
      <c r="K73" s="6"/>
      <c r="L73" s="7"/>
      <c r="M73" s="6"/>
      <c r="N73" s="6"/>
      <c r="O73" s="6">
        <f t="shared" si="4"/>
        <v>0</v>
      </c>
      <c r="P73" s="6"/>
      <c r="Q73" s="6"/>
      <c r="R73" s="6">
        <f t="shared" si="3"/>
        <v>0</v>
      </c>
      <c r="S73" s="6"/>
      <c r="T73" s="6"/>
      <c r="U73" s="6">
        <f t="shared" si="5"/>
        <v>0</v>
      </c>
    </row>
    <row r="74" spans="1:21" hidden="1" x14ac:dyDescent="0.2">
      <c r="A74" s="6" t="s">
        <v>341</v>
      </c>
      <c r="B74" s="6" t="s">
        <v>342</v>
      </c>
      <c r="C74" s="6" t="s">
        <v>342</v>
      </c>
      <c r="D74" s="6" t="s">
        <v>342</v>
      </c>
      <c r="E74" s="6"/>
      <c r="F74" s="6">
        <v>72</v>
      </c>
      <c r="G74" s="6"/>
      <c r="H74" s="6"/>
      <c r="I74" s="6"/>
      <c r="J74" s="6"/>
      <c r="K74" s="6"/>
      <c r="L74" s="7"/>
      <c r="M74" s="6"/>
      <c r="N74" s="6"/>
      <c r="O74" s="6">
        <f t="shared" si="4"/>
        <v>0</v>
      </c>
      <c r="P74" s="6"/>
      <c r="Q74" s="6"/>
      <c r="R74" s="6">
        <f t="shared" si="3"/>
        <v>0</v>
      </c>
      <c r="S74" s="6"/>
      <c r="T74" s="6"/>
      <c r="U74" s="6">
        <f t="shared" si="5"/>
        <v>0</v>
      </c>
    </row>
    <row r="75" spans="1:21" hidden="1" x14ac:dyDescent="0.2">
      <c r="A75" s="6" t="s">
        <v>341</v>
      </c>
      <c r="B75" s="6" t="s">
        <v>342</v>
      </c>
      <c r="C75" s="6" t="s">
        <v>342</v>
      </c>
      <c r="D75" s="6" t="s">
        <v>342</v>
      </c>
      <c r="E75" s="6"/>
      <c r="F75" s="6">
        <v>73</v>
      </c>
      <c r="G75" s="6"/>
      <c r="H75" s="6"/>
      <c r="I75" s="6"/>
      <c r="J75" s="6"/>
      <c r="K75" s="6"/>
      <c r="L75" s="7"/>
      <c r="M75" s="6"/>
      <c r="N75" s="6"/>
      <c r="O75" s="6">
        <f t="shared" si="4"/>
        <v>0</v>
      </c>
      <c r="P75" s="6"/>
      <c r="Q75" s="6"/>
      <c r="R75" s="6">
        <f t="shared" si="3"/>
        <v>0</v>
      </c>
      <c r="S75" s="6"/>
      <c r="T75" s="6"/>
      <c r="U75" s="6">
        <f t="shared" si="5"/>
        <v>0</v>
      </c>
    </row>
    <row r="76" spans="1:21" hidden="1" x14ac:dyDescent="0.2">
      <c r="A76" s="6" t="s">
        <v>341</v>
      </c>
      <c r="B76" s="6" t="s">
        <v>342</v>
      </c>
      <c r="C76" s="6" t="s">
        <v>342</v>
      </c>
      <c r="D76" s="6" t="s">
        <v>342</v>
      </c>
      <c r="E76" s="6"/>
      <c r="F76" s="6">
        <v>74</v>
      </c>
      <c r="G76" s="6"/>
      <c r="H76" s="6"/>
      <c r="I76" s="6"/>
      <c r="J76" s="6"/>
      <c r="K76" s="6"/>
      <c r="L76" s="7"/>
      <c r="M76" s="6"/>
      <c r="N76" s="6"/>
      <c r="O76" s="6">
        <f t="shared" si="4"/>
        <v>0</v>
      </c>
      <c r="P76" s="6"/>
      <c r="Q76" s="6"/>
      <c r="R76" s="6">
        <f t="shared" si="3"/>
        <v>0</v>
      </c>
      <c r="S76" s="6"/>
      <c r="T76" s="6"/>
      <c r="U76" s="6">
        <f t="shared" si="5"/>
        <v>0</v>
      </c>
    </row>
    <row r="77" spans="1:21" hidden="1" x14ac:dyDescent="0.2">
      <c r="A77" s="6" t="s">
        <v>341</v>
      </c>
      <c r="B77" s="6" t="s">
        <v>342</v>
      </c>
      <c r="C77" s="6" t="s">
        <v>342</v>
      </c>
      <c r="D77" s="6" t="s">
        <v>342</v>
      </c>
      <c r="E77" s="6"/>
      <c r="F77" s="6">
        <v>75</v>
      </c>
      <c r="G77" s="6"/>
      <c r="H77" s="6"/>
      <c r="I77" s="6"/>
      <c r="J77" s="6"/>
      <c r="K77" s="6"/>
      <c r="L77" s="7"/>
      <c r="M77" s="6"/>
      <c r="N77" s="6"/>
      <c r="O77" s="6">
        <f t="shared" si="4"/>
        <v>0</v>
      </c>
      <c r="P77" s="6"/>
      <c r="Q77" s="6"/>
      <c r="R77" s="6">
        <f t="shared" si="3"/>
        <v>0</v>
      </c>
      <c r="S77" s="6"/>
      <c r="T77" s="6"/>
      <c r="U77" s="6">
        <f t="shared" si="5"/>
        <v>0</v>
      </c>
    </row>
    <row r="78" spans="1:21" hidden="1" x14ac:dyDescent="0.2">
      <c r="A78" s="6" t="s">
        <v>341</v>
      </c>
      <c r="B78" s="6" t="s">
        <v>342</v>
      </c>
      <c r="C78" s="6" t="s">
        <v>342</v>
      </c>
      <c r="D78" s="6" t="s">
        <v>342</v>
      </c>
      <c r="E78" s="6"/>
      <c r="F78" s="6">
        <v>76</v>
      </c>
      <c r="G78" s="6"/>
      <c r="H78" s="6"/>
      <c r="I78" s="6"/>
      <c r="J78" s="6"/>
      <c r="K78" s="6"/>
      <c r="L78" s="7"/>
      <c r="M78" s="6"/>
      <c r="N78" s="6"/>
      <c r="O78" s="6">
        <f t="shared" si="4"/>
        <v>0</v>
      </c>
      <c r="P78" s="6"/>
      <c r="Q78" s="6"/>
      <c r="R78" s="6">
        <f t="shared" si="3"/>
        <v>0</v>
      </c>
      <c r="S78" s="6"/>
      <c r="T78" s="6"/>
      <c r="U78" s="6">
        <f t="shared" si="5"/>
        <v>0</v>
      </c>
    </row>
    <row r="79" spans="1:21" hidden="1" x14ac:dyDescent="0.2">
      <c r="A79" s="6" t="s">
        <v>341</v>
      </c>
      <c r="B79" s="6" t="s">
        <v>342</v>
      </c>
      <c r="C79" s="6" t="s">
        <v>342</v>
      </c>
      <c r="D79" s="6" t="s">
        <v>342</v>
      </c>
      <c r="E79" s="6"/>
      <c r="F79" s="6">
        <v>77</v>
      </c>
      <c r="G79" s="6"/>
      <c r="H79" s="6"/>
      <c r="I79" s="6"/>
      <c r="J79" s="6"/>
      <c r="K79" s="6"/>
      <c r="L79" s="7"/>
      <c r="M79" s="6"/>
      <c r="N79" s="6"/>
      <c r="O79" s="6">
        <f t="shared" si="4"/>
        <v>0</v>
      </c>
      <c r="P79" s="6"/>
      <c r="Q79" s="6"/>
      <c r="R79" s="6">
        <f t="shared" si="3"/>
        <v>0</v>
      </c>
      <c r="S79" s="6"/>
      <c r="T79" s="6"/>
      <c r="U79" s="6">
        <f t="shared" si="5"/>
        <v>0</v>
      </c>
    </row>
    <row r="80" spans="1:21" hidden="1" x14ac:dyDescent="0.2">
      <c r="A80" s="6" t="s">
        <v>341</v>
      </c>
      <c r="B80" s="6" t="s">
        <v>342</v>
      </c>
      <c r="C80" s="6" t="s">
        <v>342</v>
      </c>
      <c r="D80" s="6" t="s">
        <v>342</v>
      </c>
      <c r="E80" s="6"/>
      <c r="F80" s="6">
        <v>78</v>
      </c>
      <c r="G80" s="6"/>
      <c r="H80" s="6"/>
      <c r="I80" s="6"/>
      <c r="J80" s="6"/>
      <c r="K80" s="6"/>
      <c r="L80" s="7"/>
      <c r="M80" s="6"/>
      <c r="N80" s="6"/>
      <c r="O80" s="6">
        <f t="shared" si="4"/>
        <v>0</v>
      </c>
      <c r="P80" s="6"/>
      <c r="Q80" s="6"/>
      <c r="R80" s="6">
        <f t="shared" si="3"/>
        <v>0</v>
      </c>
      <c r="S80" s="6"/>
      <c r="T80" s="6"/>
      <c r="U80" s="6">
        <f t="shared" si="5"/>
        <v>0</v>
      </c>
    </row>
    <row r="81" spans="1:21" hidden="1" x14ac:dyDescent="0.2">
      <c r="A81" s="6" t="s">
        <v>341</v>
      </c>
      <c r="B81" s="6" t="s">
        <v>342</v>
      </c>
      <c r="C81" s="6" t="s">
        <v>342</v>
      </c>
      <c r="D81" s="6" t="s">
        <v>342</v>
      </c>
      <c r="E81" s="6"/>
      <c r="F81" s="6">
        <v>79</v>
      </c>
      <c r="G81" s="6"/>
      <c r="H81" s="6"/>
      <c r="I81" s="6"/>
      <c r="J81" s="6"/>
      <c r="K81" s="6"/>
      <c r="L81" s="7"/>
      <c r="M81" s="6"/>
      <c r="N81" s="6"/>
      <c r="O81" s="6">
        <f t="shared" si="4"/>
        <v>0</v>
      </c>
      <c r="P81" s="6"/>
      <c r="Q81" s="6"/>
      <c r="R81" s="6">
        <f t="shared" si="3"/>
        <v>0</v>
      </c>
      <c r="S81" s="6"/>
      <c r="T81" s="6"/>
      <c r="U81" s="6">
        <f t="shared" si="5"/>
        <v>0</v>
      </c>
    </row>
    <row r="82" spans="1:21" hidden="1" x14ac:dyDescent="0.2">
      <c r="A82" s="6" t="s">
        <v>341</v>
      </c>
      <c r="B82" s="6" t="s">
        <v>342</v>
      </c>
      <c r="C82" s="6" t="s">
        <v>342</v>
      </c>
      <c r="D82" s="6" t="s">
        <v>342</v>
      </c>
      <c r="E82" s="6"/>
      <c r="F82" s="6">
        <v>80</v>
      </c>
      <c r="G82" s="6"/>
      <c r="H82" s="6"/>
      <c r="I82" s="6"/>
      <c r="J82" s="6"/>
      <c r="K82" s="6"/>
      <c r="L82" s="7"/>
      <c r="M82" s="6"/>
      <c r="N82" s="6"/>
      <c r="O82" s="6">
        <f t="shared" si="4"/>
        <v>0</v>
      </c>
      <c r="P82" s="6"/>
      <c r="Q82" s="6"/>
      <c r="R82" s="6">
        <f t="shared" si="3"/>
        <v>0</v>
      </c>
      <c r="S82" s="6"/>
      <c r="T82" s="6"/>
      <c r="U82" s="6">
        <f t="shared" si="5"/>
        <v>0</v>
      </c>
    </row>
    <row r="83" spans="1:21" hidden="1" x14ac:dyDescent="0.2">
      <c r="A83" s="6" t="s">
        <v>341</v>
      </c>
      <c r="B83" s="6" t="s">
        <v>342</v>
      </c>
      <c r="C83" s="6" t="s">
        <v>342</v>
      </c>
      <c r="D83" s="6" t="s">
        <v>342</v>
      </c>
      <c r="E83" s="6"/>
      <c r="F83" s="6">
        <v>81</v>
      </c>
      <c r="G83" s="6"/>
      <c r="H83" s="6"/>
      <c r="I83" s="6"/>
      <c r="J83" s="6"/>
      <c r="K83" s="6"/>
      <c r="L83" s="7"/>
      <c r="M83" s="6"/>
      <c r="N83" s="6"/>
      <c r="O83" s="6">
        <f t="shared" si="4"/>
        <v>0</v>
      </c>
      <c r="P83" s="6"/>
      <c r="Q83" s="6"/>
      <c r="R83" s="6">
        <f t="shared" si="3"/>
        <v>0</v>
      </c>
      <c r="S83" s="6"/>
      <c r="T83" s="6"/>
      <c r="U83" s="6">
        <f t="shared" si="5"/>
        <v>0</v>
      </c>
    </row>
    <row r="84" spans="1:21" hidden="1" x14ac:dyDescent="0.2">
      <c r="A84" s="6" t="s">
        <v>341</v>
      </c>
      <c r="B84" s="6" t="s">
        <v>342</v>
      </c>
      <c r="C84" s="6" t="s">
        <v>342</v>
      </c>
      <c r="D84" s="6" t="s">
        <v>342</v>
      </c>
      <c r="E84" s="6"/>
      <c r="F84" s="6">
        <v>82</v>
      </c>
      <c r="G84" s="6"/>
      <c r="H84" s="6"/>
      <c r="I84" s="6"/>
      <c r="J84" s="6"/>
      <c r="K84" s="6"/>
      <c r="L84" s="7"/>
      <c r="M84" s="6"/>
      <c r="N84" s="6"/>
      <c r="O84" s="6">
        <f t="shared" si="4"/>
        <v>0</v>
      </c>
      <c r="P84" s="6"/>
      <c r="Q84" s="6"/>
      <c r="R84" s="6">
        <f t="shared" si="3"/>
        <v>0</v>
      </c>
      <c r="S84" s="6"/>
      <c r="T84" s="6"/>
      <c r="U84" s="6">
        <f t="shared" si="5"/>
        <v>0</v>
      </c>
    </row>
    <row r="85" spans="1:21" hidden="1" x14ac:dyDescent="0.2">
      <c r="A85" s="6" t="s">
        <v>341</v>
      </c>
      <c r="B85" s="6" t="s">
        <v>342</v>
      </c>
      <c r="C85" s="6" t="s">
        <v>342</v>
      </c>
      <c r="D85" s="6" t="s">
        <v>342</v>
      </c>
      <c r="E85" s="6"/>
      <c r="F85" s="6">
        <v>83</v>
      </c>
      <c r="G85" s="6"/>
      <c r="H85" s="6"/>
      <c r="I85" s="6"/>
      <c r="J85" s="6"/>
      <c r="K85" s="6"/>
      <c r="L85" s="7"/>
      <c r="M85" s="6"/>
      <c r="N85" s="6"/>
      <c r="O85" s="6">
        <f t="shared" si="4"/>
        <v>0</v>
      </c>
      <c r="P85" s="6"/>
      <c r="Q85" s="6"/>
      <c r="R85" s="6">
        <f t="shared" si="3"/>
        <v>0</v>
      </c>
      <c r="S85" s="6"/>
      <c r="T85" s="6"/>
      <c r="U85" s="6">
        <f t="shared" si="5"/>
        <v>0</v>
      </c>
    </row>
    <row r="86" spans="1:21" hidden="1" x14ac:dyDescent="0.2">
      <c r="A86" s="6" t="s">
        <v>341</v>
      </c>
      <c r="B86" s="6" t="s">
        <v>342</v>
      </c>
      <c r="C86" s="6" t="s">
        <v>342</v>
      </c>
      <c r="D86" s="6" t="s">
        <v>342</v>
      </c>
      <c r="E86" s="6"/>
      <c r="F86" s="6">
        <v>84</v>
      </c>
      <c r="G86" s="6"/>
      <c r="H86" s="6"/>
      <c r="I86" s="6"/>
      <c r="J86" s="6"/>
      <c r="K86" s="6"/>
      <c r="L86" s="7"/>
      <c r="M86" s="6"/>
      <c r="N86" s="6"/>
      <c r="O86" s="6">
        <f t="shared" si="4"/>
        <v>0</v>
      </c>
      <c r="P86" s="6"/>
      <c r="Q86" s="6"/>
      <c r="R86" s="6">
        <f t="shared" si="3"/>
        <v>0</v>
      </c>
      <c r="S86" s="6"/>
      <c r="T86" s="6"/>
      <c r="U86" s="6">
        <f t="shared" si="5"/>
        <v>0</v>
      </c>
    </row>
    <row r="87" spans="1:21" hidden="1" x14ac:dyDescent="0.2">
      <c r="A87" s="6" t="s">
        <v>341</v>
      </c>
      <c r="B87" s="6" t="s">
        <v>342</v>
      </c>
      <c r="C87" s="6" t="s">
        <v>342</v>
      </c>
      <c r="D87" s="6" t="s">
        <v>342</v>
      </c>
      <c r="E87" s="6"/>
      <c r="F87" s="6">
        <v>85</v>
      </c>
      <c r="G87" s="6"/>
      <c r="H87" s="6"/>
      <c r="I87" s="6"/>
      <c r="J87" s="6"/>
      <c r="K87" s="6"/>
      <c r="L87" s="7"/>
      <c r="M87" s="6"/>
      <c r="N87" s="6"/>
      <c r="O87" s="6">
        <f t="shared" si="4"/>
        <v>0</v>
      </c>
      <c r="P87" s="6"/>
      <c r="Q87" s="6"/>
      <c r="R87" s="6">
        <f t="shared" si="3"/>
        <v>0</v>
      </c>
      <c r="S87" s="6"/>
      <c r="T87" s="6"/>
      <c r="U87" s="6">
        <f t="shared" si="5"/>
        <v>0</v>
      </c>
    </row>
    <row r="88" spans="1:21" hidden="1" x14ac:dyDescent="0.2">
      <c r="A88" s="6" t="s">
        <v>341</v>
      </c>
      <c r="B88" s="6" t="s">
        <v>342</v>
      </c>
      <c r="C88" s="6" t="s">
        <v>342</v>
      </c>
      <c r="D88" s="6" t="s">
        <v>342</v>
      </c>
      <c r="E88" s="6"/>
      <c r="F88" s="6">
        <v>86</v>
      </c>
      <c r="G88" s="6"/>
      <c r="H88" s="6"/>
      <c r="I88" s="6"/>
      <c r="J88" s="6"/>
      <c r="K88" s="6"/>
      <c r="L88" s="7"/>
      <c r="M88" s="6"/>
      <c r="N88" s="6"/>
      <c r="O88" s="6">
        <f t="shared" si="4"/>
        <v>0</v>
      </c>
      <c r="P88" s="6"/>
      <c r="Q88" s="6"/>
      <c r="R88" s="6">
        <f t="shared" si="3"/>
        <v>0</v>
      </c>
      <c r="S88" s="6"/>
      <c r="T88" s="6"/>
      <c r="U88" s="6">
        <f t="shared" si="5"/>
        <v>0</v>
      </c>
    </row>
    <row r="89" spans="1:21" hidden="1" x14ac:dyDescent="0.2">
      <c r="A89" s="6" t="s">
        <v>341</v>
      </c>
      <c r="B89" s="6" t="s">
        <v>342</v>
      </c>
      <c r="C89" s="6" t="s">
        <v>342</v>
      </c>
      <c r="D89" s="6" t="s">
        <v>342</v>
      </c>
      <c r="E89" s="6"/>
      <c r="F89" s="6">
        <v>87</v>
      </c>
      <c r="G89" s="6"/>
      <c r="H89" s="6"/>
      <c r="I89" s="6"/>
      <c r="J89" s="6"/>
      <c r="K89" s="6"/>
      <c r="L89" s="7"/>
      <c r="M89" s="6"/>
      <c r="N89" s="6"/>
      <c r="O89" s="6">
        <f t="shared" si="4"/>
        <v>0</v>
      </c>
      <c r="P89" s="6"/>
      <c r="Q89" s="6"/>
      <c r="R89" s="6">
        <f t="shared" ref="R89:R152" si="6">IFERROR(Q89-P89,"")</f>
        <v>0</v>
      </c>
      <c r="S89" s="6"/>
      <c r="T89" s="6"/>
      <c r="U89" s="6">
        <f t="shared" si="5"/>
        <v>0</v>
      </c>
    </row>
    <row r="90" spans="1:21" hidden="1" x14ac:dyDescent="0.2">
      <c r="A90" s="6" t="s">
        <v>341</v>
      </c>
      <c r="B90" s="6" t="s">
        <v>342</v>
      </c>
      <c r="C90" s="6" t="s">
        <v>342</v>
      </c>
      <c r="D90" s="6" t="s">
        <v>342</v>
      </c>
      <c r="E90" s="6"/>
      <c r="F90" s="6">
        <v>88</v>
      </c>
      <c r="G90" s="6"/>
      <c r="H90" s="6"/>
      <c r="I90" s="6"/>
      <c r="J90" s="6"/>
      <c r="K90" s="6"/>
      <c r="L90" s="7"/>
      <c r="M90" s="6"/>
      <c r="N90" s="6"/>
      <c r="O90" s="6">
        <f t="shared" si="4"/>
        <v>0</v>
      </c>
      <c r="P90" s="6"/>
      <c r="Q90" s="6"/>
      <c r="R90" s="6">
        <f t="shared" si="6"/>
        <v>0</v>
      </c>
      <c r="S90" s="6"/>
      <c r="T90" s="6"/>
      <c r="U90" s="6">
        <f t="shared" si="5"/>
        <v>0</v>
      </c>
    </row>
    <row r="91" spans="1:21" hidden="1" x14ac:dyDescent="0.2">
      <c r="A91" s="6" t="s">
        <v>341</v>
      </c>
      <c r="B91" s="6" t="s">
        <v>342</v>
      </c>
      <c r="C91" s="6" t="s">
        <v>342</v>
      </c>
      <c r="D91" s="6" t="s">
        <v>342</v>
      </c>
      <c r="E91" s="6"/>
      <c r="F91" s="6">
        <v>89</v>
      </c>
      <c r="G91" s="6"/>
      <c r="H91" s="6"/>
      <c r="I91" s="6"/>
      <c r="J91" s="6"/>
      <c r="K91" s="6"/>
      <c r="L91" s="7"/>
      <c r="M91" s="6"/>
      <c r="N91" s="6"/>
      <c r="O91" s="6">
        <f t="shared" si="4"/>
        <v>0</v>
      </c>
      <c r="P91" s="6"/>
      <c r="Q91" s="6"/>
      <c r="R91" s="6">
        <f t="shared" si="6"/>
        <v>0</v>
      </c>
      <c r="S91" s="6"/>
      <c r="T91" s="6"/>
      <c r="U91" s="6">
        <f t="shared" si="5"/>
        <v>0</v>
      </c>
    </row>
    <row r="92" spans="1:21" hidden="1" x14ac:dyDescent="0.2">
      <c r="A92" s="6" t="s">
        <v>341</v>
      </c>
      <c r="B92" s="6" t="s">
        <v>342</v>
      </c>
      <c r="C92" s="6" t="s">
        <v>342</v>
      </c>
      <c r="D92" s="6" t="s">
        <v>342</v>
      </c>
      <c r="E92" s="6"/>
      <c r="F92" s="6">
        <v>90</v>
      </c>
      <c r="G92" s="6"/>
      <c r="H92" s="6"/>
      <c r="I92" s="6"/>
      <c r="J92" s="6"/>
      <c r="K92" s="6"/>
      <c r="L92" s="7"/>
      <c r="M92" s="6"/>
      <c r="N92" s="6"/>
      <c r="O92" s="6">
        <f t="shared" si="4"/>
        <v>0</v>
      </c>
      <c r="P92" s="6"/>
      <c r="Q92" s="6"/>
      <c r="R92" s="6">
        <f t="shared" si="6"/>
        <v>0</v>
      </c>
      <c r="S92" s="6"/>
      <c r="T92" s="6"/>
      <c r="U92" s="6">
        <f t="shared" si="5"/>
        <v>0</v>
      </c>
    </row>
    <row r="93" spans="1:21" hidden="1" x14ac:dyDescent="0.2">
      <c r="A93" s="6" t="s">
        <v>341</v>
      </c>
      <c r="B93" s="6" t="s">
        <v>342</v>
      </c>
      <c r="C93" s="6" t="s">
        <v>342</v>
      </c>
      <c r="D93" s="6" t="s">
        <v>342</v>
      </c>
      <c r="E93" s="6"/>
      <c r="F93" s="6">
        <v>91</v>
      </c>
      <c r="G93" s="6"/>
      <c r="H93" s="6"/>
      <c r="I93" s="6"/>
      <c r="J93" s="6"/>
      <c r="K93" s="6"/>
      <c r="L93" s="7"/>
      <c r="M93" s="6"/>
      <c r="N93" s="6"/>
      <c r="O93" s="6">
        <f t="shared" si="4"/>
        <v>0</v>
      </c>
      <c r="P93" s="6"/>
      <c r="Q93" s="6"/>
      <c r="R93" s="6">
        <f t="shared" si="6"/>
        <v>0</v>
      </c>
      <c r="S93" s="6"/>
      <c r="T93" s="6"/>
      <c r="U93" s="6">
        <f t="shared" si="5"/>
        <v>0</v>
      </c>
    </row>
    <row r="94" spans="1:21" hidden="1" x14ac:dyDescent="0.2">
      <c r="A94" s="6" t="s">
        <v>341</v>
      </c>
      <c r="B94" s="6" t="s">
        <v>342</v>
      </c>
      <c r="C94" s="6" t="s">
        <v>342</v>
      </c>
      <c r="D94" s="6" t="s">
        <v>342</v>
      </c>
      <c r="E94" s="6"/>
      <c r="F94" s="6">
        <v>92</v>
      </c>
      <c r="G94" s="6"/>
      <c r="H94" s="6"/>
      <c r="I94" s="6"/>
      <c r="J94" s="6"/>
      <c r="K94" s="6"/>
      <c r="L94" s="7"/>
      <c r="M94" s="6"/>
      <c r="N94" s="6"/>
      <c r="O94" s="6">
        <f t="shared" si="4"/>
        <v>0</v>
      </c>
      <c r="P94" s="6"/>
      <c r="Q94" s="6"/>
      <c r="R94" s="6">
        <f t="shared" si="6"/>
        <v>0</v>
      </c>
      <c r="S94" s="6"/>
      <c r="T94" s="6"/>
      <c r="U94" s="6">
        <f t="shared" si="5"/>
        <v>0</v>
      </c>
    </row>
    <row r="95" spans="1:21" hidden="1" x14ac:dyDescent="0.2">
      <c r="A95" s="6" t="s">
        <v>341</v>
      </c>
      <c r="B95" s="6" t="s">
        <v>342</v>
      </c>
      <c r="C95" s="6" t="s">
        <v>342</v>
      </c>
      <c r="D95" s="6" t="s">
        <v>342</v>
      </c>
      <c r="E95" s="6"/>
      <c r="F95" s="6">
        <v>93</v>
      </c>
      <c r="G95" s="6"/>
      <c r="H95" s="6"/>
      <c r="I95" s="6"/>
      <c r="J95" s="6"/>
      <c r="K95" s="6"/>
      <c r="L95" s="7"/>
      <c r="M95" s="6"/>
      <c r="N95" s="6"/>
      <c r="O95" s="6">
        <f t="shared" si="4"/>
        <v>0</v>
      </c>
      <c r="P95" s="6"/>
      <c r="Q95" s="6"/>
      <c r="R95" s="6">
        <f t="shared" si="6"/>
        <v>0</v>
      </c>
      <c r="S95" s="6"/>
      <c r="T95" s="6"/>
      <c r="U95" s="6">
        <f t="shared" si="5"/>
        <v>0</v>
      </c>
    </row>
    <row r="96" spans="1:21" hidden="1" x14ac:dyDescent="0.2">
      <c r="A96" s="6" t="s">
        <v>341</v>
      </c>
      <c r="B96" s="6" t="s">
        <v>342</v>
      </c>
      <c r="C96" s="6" t="s">
        <v>342</v>
      </c>
      <c r="D96" s="6" t="s">
        <v>342</v>
      </c>
      <c r="E96" s="6"/>
      <c r="F96" s="6">
        <v>94</v>
      </c>
      <c r="G96" s="6"/>
      <c r="H96" s="6"/>
      <c r="I96" s="6"/>
      <c r="J96" s="6"/>
      <c r="K96" s="6"/>
      <c r="L96" s="7"/>
      <c r="M96" s="6"/>
      <c r="N96" s="6"/>
      <c r="O96" s="6">
        <f t="shared" si="4"/>
        <v>0</v>
      </c>
      <c r="P96" s="6"/>
      <c r="Q96" s="6"/>
      <c r="R96" s="6">
        <f t="shared" si="6"/>
        <v>0</v>
      </c>
      <c r="S96" s="6"/>
      <c r="T96" s="6"/>
      <c r="U96" s="6">
        <f t="shared" si="5"/>
        <v>0</v>
      </c>
    </row>
    <row r="97" spans="1:21" hidden="1" x14ac:dyDescent="0.2">
      <c r="A97" s="6" t="s">
        <v>341</v>
      </c>
      <c r="B97" s="6" t="s">
        <v>342</v>
      </c>
      <c r="C97" s="6" t="s">
        <v>342</v>
      </c>
      <c r="D97" s="6" t="s">
        <v>342</v>
      </c>
      <c r="E97" s="6"/>
      <c r="F97" s="6">
        <v>95</v>
      </c>
      <c r="G97" s="6"/>
      <c r="H97" s="6"/>
      <c r="I97" s="6"/>
      <c r="J97" s="6"/>
      <c r="K97" s="6"/>
      <c r="L97" s="7"/>
      <c r="M97" s="6"/>
      <c r="N97" s="6"/>
      <c r="O97" s="6">
        <f t="shared" si="4"/>
        <v>0</v>
      </c>
      <c r="P97" s="6"/>
      <c r="Q97" s="6"/>
      <c r="R97" s="6">
        <f t="shared" si="6"/>
        <v>0</v>
      </c>
      <c r="S97" s="6"/>
      <c r="T97" s="6"/>
      <c r="U97" s="6">
        <f t="shared" si="5"/>
        <v>0</v>
      </c>
    </row>
    <row r="98" spans="1:21" hidden="1" x14ac:dyDescent="0.2">
      <c r="A98" s="6" t="s">
        <v>341</v>
      </c>
      <c r="B98" s="6" t="s">
        <v>342</v>
      </c>
      <c r="C98" s="6" t="s">
        <v>342</v>
      </c>
      <c r="D98" s="6" t="s">
        <v>342</v>
      </c>
      <c r="E98" s="6"/>
      <c r="F98" s="6">
        <v>96</v>
      </c>
      <c r="G98" s="6"/>
      <c r="H98" s="6"/>
      <c r="I98" s="6"/>
      <c r="J98" s="6"/>
      <c r="K98" s="6"/>
      <c r="L98" s="7"/>
      <c r="M98" s="6"/>
      <c r="N98" s="6"/>
      <c r="O98" s="6">
        <f t="shared" si="4"/>
        <v>0</v>
      </c>
      <c r="P98" s="6"/>
      <c r="Q98" s="6"/>
      <c r="R98" s="6">
        <f t="shared" si="6"/>
        <v>0</v>
      </c>
      <c r="S98" s="6"/>
      <c r="T98" s="6"/>
      <c r="U98" s="6">
        <f t="shared" si="5"/>
        <v>0</v>
      </c>
    </row>
    <row r="99" spans="1:21" x14ac:dyDescent="0.2">
      <c r="A99" s="6" t="s">
        <v>341</v>
      </c>
      <c r="B99" s="6" t="s">
        <v>342</v>
      </c>
      <c r="C99" s="6" t="s">
        <v>342</v>
      </c>
      <c r="D99" s="6" t="s">
        <v>342</v>
      </c>
      <c r="E99" s="6">
        <v>43</v>
      </c>
      <c r="F99" s="6">
        <v>97</v>
      </c>
      <c r="G99" s="6" t="s">
        <v>350</v>
      </c>
      <c r="H99" s="6" t="s">
        <v>192</v>
      </c>
      <c r="I99" s="6">
        <v>3</v>
      </c>
      <c r="J99" s="6">
        <v>1</v>
      </c>
      <c r="K99" s="6" t="s">
        <v>351</v>
      </c>
      <c r="L99" s="7" t="s">
        <v>355</v>
      </c>
      <c r="M99" s="6">
        <v>4828884</v>
      </c>
      <c r="N99" s="6">
        <v>4830483</v>
      </c>
      <c r="O99" s="6">
        <f t="shared" si="4"/>
        <v>1599</v>
      </c>
      <c r="P99" s="6">
        <f>N99</f>
        <v>4830483</v>
      </c>
      <c r="Q99" s="6">
        <f>S99</f>
        <v>4834280</v>
      </c>
      <c r="R99" s="6">
        <f t="shared" si="6"/>
        <v>3797</v>
      </c>
      <c r="S99" s="6">
        <v>4834280</v>
      </c>
      <c r="T99" s="6">
        <v>4835968</v>
      </c>
      <c r="U99" s="6">
        <f t="shared" si="5"/>
        <v>1688</v>
      </c>
    </row>
    <row r="100" spans="1:21" x14ac:dyDescent="0.2">
      <c r="A100" s="6" t="s">
        <v>341</v>
      </c>
      <c r="B100" s="6" t="s">
        <v>342</v>
      </c>
      <c r="C100" s="6" t="s">
        <v>342</v>
      </c>
      <c r="D100" s="6" t="s">
        <v>342</v>
      </c>
      <c r="E100" s="6">
        <v>43</v>
      </c>
      <c r="F100" s="6">
        <v>98</v>
      </c>
      <c r="G100" s="6" t="s">
        <v>350</v>
      </c>
      <c r="H100" s="6" t="s">
        <v>192</v>
      </c>
      <c r="I100" s="6">
        <v>3</v>
      </c>
      <c r="J100" s="6">
        <v>1</v>
      </c>
      <c r="K100" s="6" t="s">
        <v>351</v>
      </c>
      <c r="L100" s="7">
        <v>63</v>
      </c>
      <c r="M100" s="6">
        <v>4838993</v>
      </c>
      <c r="N100" s="6">
        <v>4840510</v>
      </c>
      <c r="O100" s="6">
        <f t="shared" si="4"/>
        <v>1517</v>
      </c>
      <c r="P100" s="6">
        <f>N100</f>
        <v>4840510</v>
      </c>
      <c r="Q100" s="6">
        <f>S100</f>
        <v>4844457</v>
      </c>
      <c r="R100" s="6">
        <f t="shared" si="6"/>
        <v>3947</v>
      </c>
      <c r="S100" s="6">
        <v>4844457</v>
      </c>
      <c r="T100" s="6">
        <v>4846179</v>
      </c>
      <c r="U100" s="6">
        <f t="shared" si="5"/>
        <v>1722</v>
      </c>
    </row>
    <row r="101" spans="1:21" x14ac:dyDescent="0.2">
      <c r="A101" s="6" t="s">
        <v>341</v>
      </c>
      <c r="B101" s="6" t="s">
        <v>342</v>
      </c>
      <c r="C101" s="6" t="s">
        <v>342</v>
      </c>
      <c r="D101" s="6" t="s">
        <v>342</v>
      </c>
      <c r="E101" s="6">
        <v>3</v>
      </c>
      <c r="F101" s="6">
        <v>99</v>
      </c>
      <c r="G101" s="6" t="s">
        <v>350</v>
      </c>
      <c r="H101" s="6" t="s">
        <v>192</v>
      </c>
      <c r="I101" s="6">
        <v>3</v>
      </c>
      <c r="J101" s="6">
        <v>1</v>
      </c>
      <c r="K101" s="6" t="s">
        <v>351</v>
      </c>
      <c r="L101" s="7" t="s">
        <v>356</v>
      </c>
      <c r="M101" s="6">
        <v>4849210</v>
      </c>
      <c r="N101" s="6">
        <v>4850740</v>
      </c>
      <c r="O101" s="6">
        <f t="shared" si="4"/>
        <v>1530</v>
      </c>
      <c r="P101" s="6">
        <f>N101</f>
        <v>4850740</v>
      </c>
      <c r="Q101" s="6">
        <f>S101</f>
        <v>4854778</v>
      </c>
      <c r="R101" s="6">
        <f t="shared" si="6"/>
        <v>4038</v>
      </c>
      <c r="S101" s="6">
        <v>4854778</v>
      </c>
      <c r="T101" s="6">
        <v>4856504</v>
      </c>
      <c r="U101" s="6">
        <f t="shared" si="5"/>
        <v>1726</v>
      </c>
    </row>
    <row r="102" spans="1:21" x14ac:dyDescent="0.2">
      <c r="A102" s="6" t="s">
        <v>341</v>
      </c>
      <c r="B102" s="6" t="s">
        <v>342</v>
      </c>
      <c r="C102" s="6" t="s">
        <v>342</v>
      </c>
      <c r="D102" s="6" t="s">
        <v>342</v>
      </c>
      <c r="E102" s="6">
        <v>3</v>
      </c>
      <c r="F102" s="6">
        <v>100</v>
      </c>
      <c r="G102" s="6" t="s">
        <v>350</v>
      </c>
      <c r="H102" s="6" t="s">
        <v>192</v>
      </c>
      <c r="I102" s="6">
        <v>3</v>
      </c>
      <c r="J102" s="6">
        <v>1</v>
      </c>
      <c r="K102" s="6" t="s">
        <v>351</v>
      </c>
      <c r="L102" s="7" t="s">
        <v>357</v>
      </c>
      <c r="M102" s="6">
        <v>4859524</v>
      </c>
      <c r="N102" s="6">
        <v>4861063</v>
      </c>
      <c r="O102" s="6">
        <f t="shared" si="4"/>
        <v>1539</v>
      </c>
      <c r="P102" s="6">
        <f>N102</f>
        <v>4861063</v>
      </c>
      <c r="Q102" s="6">
        <f>S102</f>
        <v>4865117</v>
      </c>
      <c r="R102" s="6">
        <f t="shared" si="6"/>
        <v>4054</v>
      </c>
      <c r="S102" s="6">
        <v>4865117</v>
      </c>
      <c r="T102" s="6">
        <v>4866876</v>
      </c>
      <c r="U102" s="6">
        <f t="shared" si="5"/>
        <v>1759</v>
      </c>
    </row>
    <row r="103" spans="1:21" x14ac:dyDescent="0.2">
      <c r="A103" s="6" t="s">
        <v>341</v>
      </c>
      <c r="B103" s="6" t="s">
        <v>342</v>
      </c>
      <c r="C103" s="6" t="s">
        <v>342</v>
      </c>
      <c r="D103" s="6" t="s">
        <v>342</v>
      </c>
      <c r="E103" s="6">
        <v>43</v>
      </c>
      <c r="F103" s="6">
        <v>101</v>
      </c>
      <c r="G103" s="6" t="s">
        <v>350</v>
      </c>
      <c r="H103" s="6" t="s">
        <v>192</v>
      </c>
      <c r="I103" s="6">
        <v>3</v>
      </c>
      <c r="J103" s="6">
        <v>1</v>
      </c>
      <c r="K103" s="6" t="s">
        <v>351</v>
      </c>
      <c r="L103" s="7">
        <v>65</v>
      </c>
      <c r="M103" s="6">
        <v>4869896</v>
      </c>
      <c r="N103" s="6">
        <v>4871428</v>
      </c>
      <c r="O103" s="6">
        <f t="shared" si="4"/>
        <v>1532</v>
      </c>
      <c r="P103" s="6">
        <f>N103</f>
        <v>4871428</v>
      </c>
      <c r="Q103" s="6">
        <f>S103</f>
        <v>4875349</v>
      </c>
      <c r="R103" s="6">
        <f t="shared" si="6"/>
        <v>3921</v>
      </c>
      <c r="S103" s="6">
        <v>4875349</v>
      </c>
      <c r="T103" s="6">
        <v>4877004</v>
      </c>
      <c r="U103" s="6">
        <f t="shared" si="5"/>
        <v>1655</v>
      </c>
    </row>
    <row r="104" spans="1:21" hidden="1" x14ac:dyDescent="0.2">
      <c r="A104" s="6" t="s">
        <v>341</v>
      </c>
      <c r="B104" s="6" t="s">
        <v>342</v>
      </c>
      <c r="C104" s="6" t="s">
        <v>342</v>
      </c>
      <c r="D104" s="6" t="s">
        <v>342</v>
      </c>
      <c r="E104" s="6"/>
      <c r="F104" s="6">
        <v>102</v>
      </c>
      <c r="G104" s="6"/>
      <c r="H104" s="6"/>
      <c r="I104" s="6"/>
      <c r="J104" s="6"/>
      <c r="K104" s="6"/>
      <c r="L104" s="7"/>
      <c r="M104" s="6"/>
      <c r="N104" s="6"/>
      <c r="O104" s="6">
        <f t="shared" si="4"/>
        <v>0</v>
      </c>
      <c r="P104" s="6"/>
      <c r="Q104" s="6"/>
      <c r="R104" s="6">
        <f t="shared" si="6"/>
        <v>0</v>
      </c>
      <c r="S104" s="6"/>
      <c r="T104" s="6"/>
      <c r="U104" s="6">
        <f t="shared" si="5"/>
        <v>0</v>
      </c>
    </row>
    <row r="105" spans="1:21" hidden="1" x14ac:dyDescent="0.2">
      <c r="A105" s="6" t="s">
        <v>341</v>
      </c>
      <c r="B105" s="6" t="s">
        <v>342</v>
      </c>
      <c r="C105" s="6" t="s">
        <v>342</v>
      </c>
      <c r="D105" s="6" t="s">
        <v>342</v>
      </c>
      <c r="E105" s="6"/>
      <c r="F105" s="6">
        <v>103</v>
      </c>
      <c r="G105" s="6"/>
      <c r="H105" s="6"/>
      <c r="I105" s="6"/>
      <c r="J105" s="6"/>
      <c r="K105" s="6"/>
      <c r="L105" s="7"/>
      <c r="M105" s="6"/>
      <c r="N105" s="6"/>
      <c r="O105" s="6">
        <f t="shared" si="4"/>
        <v>0</v>
      </c>
      <c r="P105" s="6"/>
      <c r="Q105" s="6"/>
      <c r="R105" s="6">
        <f t="shared" si="6"/>
        <v>0</v>
      </c>
      <c r="S105" s="6"/>
      <c r="T105" s="6"/>
      <c r="U105" s="6">
        <f t="shared" si="5"/>
        <v>0</v>
      </c>
    </row>
    <row r="106" spans="1:21" hidden="1" x14ac:dyDescent="0.2">
      <c r="A106" s="6" t="s">
        <v>341</v>
      </c>
      <c r="B106" s="6" t="s">
        <v>342</v>
      </c>
      <c r="C106" s="6" t="s">
        <v>342</v>
      </c>
      <c r="D106" s="6" t="s">
        <v>342</v>
      </c>
      <c r="E106" s="6"/>
      <c r="F106" s="6">
        <v>104</v>
      </c>
      <c r="G106" s="6"/>
      <c r="H106" s="6"/>
      <c r="I106" s="6"/>
      <c r="J106" s="6"/>
      <c r="K106" s="6"/>
      <c r="L106" s="7"/>
      <c r="M106" s="6"/>
      <c r="N106" s="6"/>
      <c r="O106" s="6">
        <f t="shared" si="4"/>
        <v>0</v>
      </c>
      <c r="P106" s="6"/>
      <c r="Q106" s="6"/>
      <c r="R106" s="6">
        <f t="shared" si="6"/>
        <v>0</v>
      </c>
      <c r="S106" s="6"/>
      <c r="T106" s="6"/>
      <c r="U106" s="6">
        <f t="shared" si="5"/>
        <v>0</v>
      </c>
    </row>
    <row r="107" spans="1:21" hidden="1" x14ac:dyDescent="0.2">
      <c r="A107" s="6" t="s">
        <v>341</v>
      </c>
      <c r="B107" s="6" t="s">
        <v>342</v>
      </c>
      <c r="C107" s="6" t="s">
        <v>342</v>
      </c>
      <c r="D107" s="6" t="s">
        <v>342</v>
      </c>
      <c r="E107" s="6"/>
      <c r="F107" s="6">
        <v>105</v>
      </c>
      <c r="G107" s="6"/>
      <c r="H107" s="6"/>
      <c r="I107" s="6"/>
      <c r="J107" s="6"/>
      <c r="K107" s="6"/>
      <c r="L107" s="7"/>
      <c r="M107" s="6"/>
      <c r="N107" s="6"/>
      <c r="O107" s="6">
        <f t="shared" si="4"/>
        <v>0</v>
      </c>
      <c r="P107" s="6"/>
      <c r="Q107" s="6"/>
      <c r="R107" s="6">
        <f t="shared" si="6"/>
        <v>0</v>
      </c>
      <c r="S107" s="6"/>
      <c r="T107" s="6"/>
      <c r="U107" s="6">
        <f t="shared" si="5"/>
        <v>0</v>
      </c>
    </row>
    <row r="108" spans="1:21" hidden="1" x14ac:dyDescent="0.2">
      <c r="A108" s="6" t="s">
        <v>341</v>
      </c>
      <c r="B108" s="6" t="s">
        <v>342</v>
      </c>
      <c r="C108" s="6" t="s">
        <v>342</v>
      </c>
      <c r="D108" s="6" t="s">
        <v>342</v>
      </c>
      <c r="E108" s="6"/>
      <c r="F108" s="6">
        <v>106</v>
      </c>
      <c r="G108" s="6"/>
      <c r="H108" s="6"/>
      <c r="I108" s="6"/>
      <c r="J108" s="6"/>
      <c r="K108" s="6"/>
      <c r="L108" s="7"/>
      <c r="M108" s="6"/>
      <c r="N108" s="6"/>
      <c r="O108" s="6">
        <f t="shared" si="4"/>
        <v>0</v>
      </c>
      <c r="P108" s="6"/>
      <c r="Q108" s="6"/>
      <c r="R108" s="6">
        <f t="shared" si="6"/>
        <v>0</v>
      </c>
      <c r="S108" s="6"/>
      <c r="T108" s="6"/>
      <c r="U108" s="6">
        <f t="shared" si="5"/>
        <v>0</v>
      </c>
    </row>
    <row r="109" spans="1:21" hidden="1" x14ac:dyDescent="0.2">
      <c r="A109" s="6" t="s">
        <v>341</v>
      </c>
      <c r="B109" s="6" t="s">
        <v>342</v>
      </c>
      <c r="C109" s="6" t="s">
        <v>342</v>
      </c>
      <c r="D109" s="6" t="s">
        <v>342</v>
      </c>
      <c r="E109" s="6"/>
      <c r="F109" s="6">
        <v>107</v>
      </c>
      <c r="G109" s="6"/>
      <c r="H109" s="6"/>
      <c r="I109" s="6"/>
      <c r="J109" s="6"/>
      <c r="K109" s="6"/>
      <c r="L109" s="7"/>
      <c r="M109" s="6"/>
      <c r="N109" s="6"/>
      <c r="O109" s="6">
        <f t="shared" si="4"/>
        <v>0</v>
      </c>
      <c r="P109" s="6"/>
      <c r="Q109" s="6"/>
      <c r="R109" s="6">
        <f t="shared" si="6"/>
        <v>0</v>
      </c>
      <c r="S109" s="6"/>
      <c r="T109" s="6"/>
      <c r="U109" s="6">
        <f t="shared" si="5"/>
        <v>0</v>
      </c>
    </row>
    <row r="110" spans="1:21" hidden="1" x14ac:dyDescent="0.2">
      <c r="A110" s="6" t="s">
        <v>341</v>
      </c>
      <c r="B110" s="6" t="s">
        <v>342</v>
      </c>
      <c r="C110" s="6" t="s">
        <v>342</v>
      </c>
      <c r="D110" s="6" t="s">
        <v>342</v>
      </c>
      <c r="E110" s="6"/>
      <c r="F110" s="6">
        <v>108</v>
      </c>
      <c r="G110" s="6"/>
      <c r="H110" s="6"/>
      <c r="I110" s="6"/>
      <c r="J110" s="6"/>
      <c r="K110" s="6"/>
      <c r="L110" s="7"/>
      <c r="M110" s="6"/>
      <c r="N110" s="6"/>
      <c r="O110" s="6">
        <f t="shared" si="4"/>
        <v>0</v>
      </c>
      <c r="P110" s="6"/>
      <c r="Q110" s="6"/>
      <c r="R110" s="6">
        <f t="shared" si="6"/>
        <v>0</v>
      </c>
      <c r="S110" s="6"/>
      <c r="T110" s="6"/>
      <c r="U110" s="6">
        <f t="shared" si="5"/>
        <v>0</v>
      </c>
    </row>
    <row r="111" spans="1:21" hidden="1" x14ac:dyDescent="0.2">
      <c r="A111" s="6" t="s">
        <v>341</v>
      </c>
      <c r="B111" s="6" t="s">
        <v>342</v>
      </c>
      <c r="C111" s="6" t="s">
        <v>342</v>
      </c>
      <c r="D111" s="6" t="s">
        <v>342</v>
      </c>
      <c r="E111" s="6"/>
      <c r="F111" s="6">
        <v>109</v>
      </c>
      <c r="G111" s="6"/>
      <c r="H111" s="6"/>
      <c r="I111" s="6"/>
      <c r="J111" s="6"/>
      <c r="K111" s="6"/>
      <c r="L111" s="7"/>
      <c r="M111" s="6"/>
      <c r="N111" s="6"/>
      <c r="O111" s="6">
        <f t="shared" si="4"/>
        <v>0</v>
      </c>
      <c r="P111" s="6"/>
      <c r="Q111" s="6"/>
      <c r="R111" s="6">
        <f t="shared" si="6"/>
        <v>0</v>
      </c>
      <c r="S111" s="6"/>
      <c r="T111" s="6"/>
      <c r="U111" s="6">
        <f t="shared" si="5"/>
        <v>0</v>
      </c>
    </row>
    <row r="112" spans="1:21" hidden="1" x14ac:dyDescent="0.2">
      <c r="A112" s="6" t="s">
        <v>341</v>
      </c>
      <c r="B112" s="6" t="s">
        <v>342</v>
      </c>
      <c r="C112" s="6" t="s">
        <v>342</v>
      </c>
      <c r="D112" s="6" t="s">
        <v>342</v>
      </c>
      <c r="E112" s="6"/>
      <c r="F112" s="6">
        <v>110</v>
      </c>
      <c r="G112" s="6"/>
      <c r="H112" s="6"/>
      <c r="I112" s="6"/>
      <c r="J112" s="6"/>
      <c r="K112" s="6"/>
      <c r="L112" s="7"/>
      <c r="M112" s="6"/>
      <c r="N112" s="6"/>
      <c r="O112" s="6">
        <f t="shared" si="4"/>
        <v>0</v>
      </c>
      <c r="P112" s="6"/>
      <c r="Q112" s="6"/>
      <c r="R112" s="6">
        <f t="shared" si="6"/>
        <v>0</v>
      </c>
      <c r="S112" s="6"/>
      <c r="T112" s="6"/>
      <c r="U112" s="6">
        <f t="shared" si="5"/>
        <v>0</v>
      </c>
    </row>
    <row r="113" spans="1:21" hidden="1" x14ac:dyDescent="0.2">
      <c r="A113" s="6" t="s">
        <v>341</v>
      </c>
      <c r="B113" s="6" t="s">
        <v>342</v>
      </c>
      <c r="C113" s="6" t="s">
        <v>342</v>
      </c>
      <c r="D113" s="6" t="s">
        <v>342</v>
      </c>
      <c r="E113" s="6"/>
      <c r="F113" s="6">
        <v>111</v>
      </c>
      <c r="G113" s="6"/>
      <c r="H113" s="6"/>
      <c r="I113" s="6"/>
      <c r="J113" s="6"/>
      <c r="K113" s="6"/>
      <c r="L113" s="7"/>
      <c r="M113" s="6"/>
      <c r="N113" s="6"/>
      <c r="O113" s="6">
        <f t="shared" si="4"/>
        <v>0</v>
      </c>
      <c r="P113" s="6"/>
      <c r="Q113" s="6"/>
      <c r="R113" s="6">
        <f t="shared" si="6"/>
        <v>0</v>
      </c>
      <c r="S113" s="6"/>
      <c r="T113" s="6"/>
      <c r="U113" s="6">
        <f t="shared" si="5"/>
        <v>0</v>
      </c>
    </row>
    <row r="114" spans="1:21" hidden="1" x14ac:dyDescent="0.2">
      <c r="A114" s="6" t="s">
        <v>341</v>
      </c>
      <c r="B114" s="6" t="s">
        <v>342</v>
      </c>
      <c r="C114" s="6" t="s">
        <v>342</v>
      </c>
      <c r="D114" s="6" t="s">
        <v>342</v>
      </c>
      <c r="E114" s="6"/>
      <c r="F114" s="6">
        <v>112</v>
      </c>
      <c r="G114" s="6"/>
      <c r="H114" s="6"/>
      <c r="I114" s="6"/>
      <c r="J114" s="6"/>
      <c r="K114" s="6"/>
      <c r="L114" s="7"/>
      <c r="M114" s="6"/>
      <c r="N114" s="6"/>
      <c r="O114" s="6">
        <f t="shared" si="4"/>
        <v>0</v>
      </c>
      <c r="P114" s="6"/>
      <c r="Q114" s="6"/>
      <c r="R114" s="6">
        <f t="shared" si="6"/>
        <v>0</v>
      </c>
      <c r="S114" s="6"/>
      <c r="T114" s="6"/>
      <c r="U114" s="6">
        <f t="shared" si="5"/>
        <v>0</v>
      </c>
    </row>
    <row r="115" spans="1:21" hidden="1" x14ac:dyDescent="0.2">
      <c r="A115" s="6" t="s">
        <v>341</v>
      </c>
      <c r="B115" s="6" t="s">
        <v>342</v>
      </c>
      <c r="C115" s="6" t="s">
        <v>342</v>
      </c>
      <c r="D115" s="6" t="s">
        <v>342</v>
      </c>
      <c r="E115" s="6"/>
      <c r="F115" s="6">
        <v>113</v>
      </c>
      <c r="G115" s="6"/>
      <c r="H115" s="6"/>
      <c r="I115" s="6"/>
      <c r="J115" s="6"/>
      <c r="K115" s="6"/>
      <c r="L115" s="7"/>
      <c r="M115" s="6"/>
      <c r="N115" s="6"/>
      <c r="O115" s="6">
        <f t="shared" si="4"/>
        <v>0</v>
      </c>
      <c r="P115" s="6"/>
      <c r="Q115" s="6"/>
      <c r="R115" s="6">
        <f t="shared" si="6"/>
        <v>0</v>
      </c>
      <c r="S115" s="6"/>
      <c r="T115" s="6"/>
      <c r="U115" s="6">
        <f t="shared" si="5"/>
        <v>0</v>
      </c>
    </row>
    <row r="116" spans="1:21" hidden="1" x14ac:dyDescent="0.2">
      <c r="A116" s="6" t="s">
        <v>341</v>
      </c>
      <c r="B116" s="6" t="s">
        <v>342</v>
      </c>
      <c r="C116" s="6" t="s">
        <v>342</v>
      </c>
      <c r="D116" s="6" t="s">
        <v>342</v>
      </c>
      <c r="E116" s="6"/>
      <c r="F116" s="6">
        <v>114</v>
      </c>
      <c r="G116" s="6"/>
      <c r="H116" s="6"/>
      <c r="I116" s="6"/>
      <c r="J116" s="6"/>
      <c r="K116" s="6"/>
      <c r="L116" s="7"/>
      <c r="M116" s="6"/>
      <c r="N116" s="6"/>
      <c r="O116" s="6">
        <f t="shared" si="4"/>
        <v>0</v>
      </c>
      <c r="P116" s="6"/>
      <c r="Q116" s="6"/>
      <c r="R116" s="6">
        <f t="shared" si="6"/>
        <v>0</v>
      </c>
      <c r="S116" s="6"/>
      <c r="T116" s="6"/>
      <c r="U116" s="6">
        <f t="shared" si="5"/>
        <v>0</v>
      </c>
    </row>
    <row r="117" spans="1:21" hidden="1" x14ac:dyDescent="0.2">
      <c r="A117" s="6" t="s">
        <v>341</v>
      </c>
      <c r="B117" s="6" t="s">
        <v>342</v>
      </c>
      <c r="C117" s="6" t="s">
        <v>342</v>
      </c>
      <c r="D117" s="6" t="s">
        <v>342</v>
      </c>
      <c r="E117" s="6"/>
      <c r="F117" s="6">
        <v>115</v>
      </c>
      <c r="G117" s="6"/>
      <c r="H117" s="6"/>
      <c r="I117" s="6"/>
      <c r="J117" s="6"/>
      <c r="K117" s="6"/>
      <c r="L117" s="7"/>
      <c r="M117" s="6"/>
      <c r="N117" s="6"/>
      <c r="O117" s="6">
        <f t="shared" si="4"/>
        <v>0</v>
      </c>
      <c r="P117" s="6"/>
      <c r="Q117" s="6"/>
      <c r="R117" s="6">
        <f t="shared" si="6"/>
        <v>0</v>
      </c>
      <c r="S117" s="6"/>
      <c r="T117" s="6"/>
      <c r="U117" s="6">
        <f t="shared" si="5"/>
        <v>0</v>
      </c>
    </row>
    <row r="118" spans="1:21" hidden="1" x14ac:dyDescent="0.2">
      <c r="A118" s="6" t="s">
        <v>341</v>
      </c>
      <c r="B118" s="6" t="s">
        <v>342</v>
      </c>
      <c r="C118" s="6" t="s">
        <v>342</v>
      </c>
      <c r="D118" s="6" t="s">
        <v>342</v>
      </c>
      <c r="E118" s="6"/>
      <c r="F118" s="6">
        <v>116</v>
      </c>
      <c r="G118" s="6"/>
      <c r="H118" s="6"/>
      <c r="I118" s="6"/>
      <c r="J118" s="6"/>
      <c r="K118" s="6"/>
      <c r="L118" s="7"/>
      <c r="M118" s="6"/>
      <c r="N118" s="6"/>
      <c r="O118" s="6">
        <f t="shared" si="4"/>
        <v>0</v>
      </c>
      <c r="P118" s="6"/>
      <c r="Q118" s="6"/>
      <c r="R118" s="6">
        <f t="shared" si="6"/>
        <v>0</v>
      </c>
      <c r="S118" s="6"/>
      <c r="T118" s="6"/>
      <c r="U118" s="6">
        <f t="shared" si="5"/>
        <v>0</v>
      </c>
    </row>
    <row r="119" spans="1:21" hidden="1" x14ac:dyDescent="0.2">
      <c r="A119" s="6" t="s">
        <v>341</v>
      </c>
      <c r="B119" s="6" t="s">
        <v>342</v>
      </c>
      <c r="C119" s="6" t="s">
        <v>342</v>
      </c>
      <c r="D119" s="6" t="s">
        <v>342</v>
      </c>
      <c r="E119" s="6"/>
      <c r="F119" s="6">
        <v>117</v>
      </c>
      <c r="G119" s="6"/>
      <c r="H119" s="6"/>
      <c r="I119" s="6"/>
      <c r="J119" s="6"/>
      <c r="K119" s="6"/>
      <c r="L119" s="7"/>
      <c r="M119" s="6"/>
      <c r="N119" s="6"/>
      <c r="O119" s="6">
        <f t="shared" si="4"/>
        <v>0</v>
      </c>
      <c r="P119" s="6"/>
      <c r="Q119" s="6"/>
      <c r="R119" s="6">
        <f t="shared" si="6"/>
        <v>0</v>
      </c>
      <c r="S119" s="6"/>
      <c r="T119" s="6"/>
      <c r="U119" s="6">
        <f t="shared" si="5"/>
        <v>0</v>
      </c>
    </row>
    <row r="120" spans="1:21" hidden="1" x14ac:dyDescent="0.2">
      <c r="A120" s="6" t="s">
        <v>341</v>
      </c>
      <c r="B120" s="6" t="s">
        <v>342</v>
      </c>
      <c r="C120" s="6" t="s">
        <v>342</v>
      </c>
      <c r="D120" s="6" t="s">
        <v>342</v>
      </c>
      <c r="E120" s="6"/>
      <c r="F120" s="6">
        <v>118</v>
      </c>
      <c r="G120" s="6"/>
      <c r="H120" s="6"/>
      <c r="I120" s="6"/>
      <c r="J120" s="6"/>
      <c r="K120" s="6"/>
      <c r="L120" s="7"/>
      <c r="M120" s="6"/>
      <c r="N120" s="6"/>
      <c r="O120" s="6">
        <f t="shared" si="4"/>
        <v>0</v>
      </c>
      <c r="P120" s="6"/>
      <c r="Q120" s="6"/>
      <c r="R120" s="6">
        <f t="shared" si="6"/>
        <v>0</v>
      </c>
      <c r="S120" s="6"/>
      <c r="T120" s="6"/>
      <c r="U120" s="6">
        <f t="shared" si="5"/>
        <v>0</v>
      </c>
    </row>
    <row r="121" spans="1:21" hidden="1" x14ac:dyDescent="0.2">
      <c r="A121" s="6" t="s">
        <v>341</v>
      </c>
      <c r="B121" s="6" t="s">
        <v>342</v>
      </c>
      <c r="C121" s="6" t="s">
        <v>342</v>
      </c>
      <c r="D121" s="6" t="s">
        <v>342</v>
      </c>
      <c r="E121" s="6"/>
      <c r="F121" s="6">
        <v>119</v>
      </c>
      <c r="G121" s="6"/>
      <c r="H121" s="6"/>
      <c r="I121" s="6"/>
      <c r="J121" s="6"/>
      <c r="K121" s="6"/>
      <c r="L121" s="7"/>
      <c r="M121" s="6"/>
      <c r="N121" s="6"/>
      <c r="O121" s="6">
        <f t="shared" si="4"/>
        <v>0</v>
      </c>
      <c r="P121" s="6"/>
      <c r="Q121" s="6"/>
      <c r="R121" s="6">
        <f t="shared" si="6"/>
        <v>0</v>
      </c>
      <c r="S121" s="6"/>
      <c r="T121" s="6"/>
      <c r="U121" s="6">
        <f t="shared" si="5"/>
        <v>0</v>
      </c>
    </row>
    <row r="122" spans="1:21" hidden="1" x14ac:dyDescent="0.2">
      <c r="A122" s="6" t="s">
        <v>341</v>
      </c>
      <c r="B122" s="6" t="s">
        <v>342</v>
      </c>
      <c r="C122" s="6" t="s">
        <v>342</v>
      </c>
      <c r="D122" s="6" t="s">
        <v>342</v>
      </c>
      <c r="E122" s="6"/>
      <c r="F122" s="6">
        <v>120</v>
      </c>
      <c r="G122" s="6"/>
      <c r="H122" s="6"/>
      <c r="I122" s="6"/>
      <c r="J122" s="6"/>
      <c r="K122" s="6"/>
      <c r="L122" s="7"/>
      <c r="M122" s="6"/>
      <c r="N122" s="6"/>
      <c r="O122" s="6">
        <f t="shared" si="4"/>
        <v>0</v>
      </c>
      <c r="P122" s="6"/>
      <c r="Q122" s="6"/>
      <c r="R122" s="6">
        <f t="shared" si="6"/>
        <v>0</v>
      </c>
      <c r="S122" s="6"/>
      <c r="T122" s="6"/>
      <c r="U122" s="6">
        <f t="shared" si="5"/>
        <v>0</v>
      </c>
    </row>
    <row r="123" spans="1:21" hidden="1" x14ac:dyDescent="0.2">
      <c r="A123" s="6" t="s">
        <v>341</v>
      </c>
      <c r="B123" s="6" t="s">
        <v>342</v>
      </c>
      <c r="C123" s="6" t="s">
        <v>342</v>
      </c>
      <c r="D123" s="6" t="s">
        <v>342</v>
      </c>
      <c r="E123" s="6"/>
      <c r="F123" s="6">
        <v>121</v>
      </c>
      <c r="G123" s="6"/>
      <c r="H123" s="6"/>
      <c r="I123" s="6"/>
      <c r="J123" s="6"/>
      <c r="K123" s="6"/>
      <c r="L123" s="7"/>
      <c r="M123" s="6"/>
      <c r="N123" s="6"/>
      <c r="O123" s="6">
        <f t="shared" si="4"/>
        <v>0</v>
      </c>
      <c r="P123" s="6"/>
      <c r="Q123" s="6"/>
      <c r="R123" s="6">
        <f t="shared" si="6"/>
        <v>0</v>
      </c>
      <c r="S123" s="6"/>
      <c r="T123" s="6"/>
      <c r="U123" s="6">
        <f t="shared" si="5"/>
        <v>0</v>
      </c>
    </row>
    <row r="124" spans="1:21" hidden="1" x14ac:dyDescent="0.2">
      <c r="A124" s="6" t="s">
        <v>341</v>
      </c>
      <c r="B124" s="6" t="s">
        <v>342</v>
      </c>
      <c r="C124" s="6" t="s">
        <v>342</v>
      </c>
      <c r="D124" s="6" t="s">
        <v>342</v>
      </c>
      <c r="E124" s="6"/>
      <c r="F124" s="6">
        <v>122</v>
      </c>
      <c r="G124" s="6"/>
      <c r="H124" s="6"/>
      <c r="I124" s="6"/>
      <c r="J124" s="6"/>
      <c r="K124" s="6"/>
      <c r="L124" s="7"/>
      <c r="M124" s="6"/>
      <c r="N124" s="6"/>
      <c r="O124" s="6">
        <f t="shared" si="4"/>
        <v>0</v>
      </c>
      <c r="P124" s="6"/>
      <c r="Q124" s="6"/>
      <c r="R124" s="6">
        <f t="shared" si="6"/>
        <v>0</v>
      </c>
      <c r="S124" s="6"/>
      <c r="T124" s="6"/>
      <c r="U124" s="6">
        <f t="shared" si="5"/>
        <v>0</v>
      </c>
    </row>
    <row r="125" spans="1:21" hidden="1" x14ac:dyDescent="0.2">
      <c r="A125" s="6" t="s">
        <v>341</v>
      </c>
      <c r="B125" s="6" t="s">
        <v>342</v>
      </c>
      <c r="C125" s="6" t="s">
        <v>342</v>
      </c>
      <c r="D125" s="6" t="s">
        <v>342</v>
      </c>
      <c r="E125" s="6"/>
      <c r="F125" s="6">
        <v>123</v>
      </c>
      <c r="G125" s="6"/>
      <c r="H125" s="6"/>
      <c r="I125" s="6"/>
      <c r="J125" s="6"/>
      <c r="K125" s="6"/>
      <c r="L125" s="7"/>
      <c r="M125" s="6"/>
      <c r="N125" s="6"/>
      <c r="O125" s="6">
        <f t="shared" si="4"/>
        <v>0</v>
      </c>
      <c r="P125" s="6"/>
      <c r="Q125" s="6"/>
      <c r="R125" s="6">
        <f t="shared" si="6"/>
        <v>0</v>
      </c>
      <c r="S125" s="6"/>
      <c r="T125" s="6"/>
      <c r="U125" s="6">
        <f t="shared" si="5"/>
        <v>0</v>
      </c>
    </row>
    <row r="126" spans="1:21" hidden="1" x14ac:dyDescent="0.2">
      <c r="A126" s="6" t="s">
        <v>341</v>
      </c>
      <c r="B126" s="6" t="s">
        <v>342</v>
      </c>
      <c r="C126" s="6" t="s">
        <v>342</v>
      </c>
      <c r="D126" s="6" t="s">
        <v>342</v>
      </c>
      <c r="E126" s="6"/>
      <c r="F126" s="6">
        <v>124</v>
      </c>
      <c r="G126" s="6"/>
      <c r="H126" s="6"/>
      <c r="I126" s="6"/>
      <c r="J126" s="6"/>
      <c r="K126" s="6"/>
      <c r="L126" s="7"/>
      <c r="M126" s="6"/>
      <c r="N126" s="6"/>
      <c r="O126" s="6">
        <f t="shared" si="4"/>
        <v>0</v>
      </c>
      <c r="P126" s="6"/>
      <c r="Q126" s="6"/>
      <c r="R126" s="6">
        <f t="shared" si="6"/>
        <v>0</v>
      </c>
      <c r="S126" s="6"/>
      <c r="T126" s="6"/>
      <c r="U126" s="6">
        <f t="shared" si="5"/>
        <v>0</v>
      </c>
    </row>
    <row r="127" spans="1:21" hidden="1" x14ac:dyDescent="0.2">
      <c r="A127" s="6" t="s">
        <v>341</v>
      </c>
      <c r="B127" s="6" t="s">
        <v>342</v>
      </c>
      <c r="C127" s="6" t="s">
        <v>342</v>
      </c>
      <c r="D127" s="6" t="s">
        <v>342</v>
      </c>
      <c r="E127" s="6"/>
      <c r="F127" s="6">
        <v>125</v>
      </c>
      <c r="G127" s="6"/>
      <c r="H127" s="6"/>
      <c r="I127" s="6"/>
      <c r="J127" s="6"/>
      <c r="K127" s="6"/>
      <c r="L127" s="7"/>
      <c r="M127" s="6"/>
      <c r="N127" s="6"/>
      <c r="O127" s="6">
        <f t="shared" si="4"/>
        <v>0</v>
      </c>
      <c r="P127" s="6"/>
      <c r="Q127" s="6"/>
      <c r="R127" s="6">
        <f t="shared" si="6"/>
        <v>0</v>
      </c>
      <c r="S127" s="6"/>
      <c r="T127" s="6"/>
      <c r="U127" s="6">
        <f t="shared" si="5"/>
        <v>0</v>
      </c>
    </row>
    <row r="128" spans="1:21" hidden="1" x14ac:dyDescent="0.2">
      <c r="A128" s="6" t="s">
        <v>341</v>
      </c>
      <c r="B128" s="6" t="s">
        <v>342</v>
      </c>
      <c r="C128" s="6" t="s">
        <v>342</v>
      </c>
      <c r="D128" s="6" t="s">
        <v>342</v>
      </c>
      <c r="E128" s="6"/>
      <c r="F128" s="6">
        <v>126</v>
      </c>
      <c r="G128" s="6"/>
      <c r="H128" s="6"/>
      <c r="I128" s="6"/>
      <c r="J128" s="6"/>
      <c r="K128" s="6"/>
      <c r="L128" s="7"/>
      <c r="M128" s="6"/>
      <c r="N128" s="6"/>
      <c r="O128" s="6">
        <f t="shared" si="4"/>
        <v>0</v>
      </c>
      <c r="P128" s="6"/>
      <c r="Q128" s="6"/>
      <c r="R128" s="6">
        <f t="shared" si="6"/>
        <v>0</v>
      </c>
      <c r="S128" s="6"/>
      <c r="T128" s="6"/>
      <c r="U128" s="6">
        <f t="shared" si="5"/>
        <v>0</v>
      </c>
    </row>
    <row r="129" spans="1:21" hidden="1" x14ac:dyDescent="0.2">
      <c r="A129" s="6" t="s">
        <v>341</v>
      </c>
      <c r="B129" s="6" t="s">
        <v>342</v>
      </c>
      <c r="C129" s="6" t="s">
        <v>342</v>
      </c>
      <c r="D129" s="6" t="s">
        <v>342</v>
      </c>
      <c r="E129" s="6"/>
      <c r="F129" s="6">
        <v>127</v>
      </c>
      <c r="G129" s="6"/>
      <c r="H129" s="6"/>
      <c r="I129" s="6"/>
      <c r="J129" s="6"/>
      <c r="K129" s="6"/>
      <c r="L129" s="7"/>
      <c r="M129" s="6"/>
      <c r="N129" s="6"/>
      <c r="O129" s="6">
        <f t="shared" si="4"/>
        <v>0</v>
      </c>
      <c r="P129" s="6"/>
      <c r="Q129" s="6"/>
      <c r="R129" s="6">
        <f t="shared" si="6"/>
        <v>0</v>
      </c>
      <c r="S129" s="6"/>
      <c r="T129" s="6"/>
      <c r="U129" s="6">
        <f t="shared" si="5"/>
        <v>0</v>
      </c>
    </row>
    <row r="130" spans="1:21" hidden="1" x14ac:dyDescent="0.2">
      <c r="A130" s="6" t="s">
        <v>341</v>
      </c>
      <c r="B130" s="6" t="s">
        <v>342</v>
      </c>
      <c r="C130" s="6" t="s">
        <v>342</v>
      </c>
      <c r="D130" s="6" t="s">
        <v>342</v>
      </c>
      <c r="E130" s="6"/>
      <c r="F130" s="6">
        <v>128</v>
      </c>
      <c r="G130" s="6"/>
      <c r="H130" s="6"/>
      <c r="I130" s="6"/>
      <c r="J130" s="6"/>
      <c r="K130" s="6"/>
      <c r="L130" s="7"/>
      <c r="M130" s="6"/>
      <c r="N130" s="6"/>
      <c r="O130" s="6">
        <f t="shared" si="4"/>
        <v>0</v>
      </c>
      <c r="P130" s="6"/>
      <c r="Q130" s="6"/>
      <c r="R130" s="6">
        <f t="shared" si="6"/>
        <v>0</v>
      </c>
      <c r="S130" s="6"/>
      <c r="T130" s="6"/>
      <c r="U130" s="6">
        <f t="shared" si="5"/>
        <v>0</v>
      </c>
    </row>
    <row r="131" spans="1:21" hidden="1" x14ac:dyDescent="0.2">
      <c r="A131" s="6" t="s">
        <v>341</v>
      </c>
      <c r="B131" s="6" t="s">
        <v>342</v>
      </c>
      <c r="C131" s="6" t="s">
        <v>342</v>
      </c>
      <c r="D131" s="6" t="s">
        <v>342</v>
      </c>
      <c r="E131" s="6"/>
      <c r="F131" s="6">
        <v>129</v>
      </c>
      <c r="G131" s="6"/>
      <c r="H131" s="6"/>
      <c r="I131" s="6"/>
      <c r="J131" s="6"/>
      <c r="K131" s="6"/>
      <c r="L131" s="7"/>
      <c r="M131" s="6"/>
      <c r="N131" s="6"/>
      <c r="O131" s="6">
        <f t="shared" ref="O131:O194" si="7">IFERROR(N131-M131,"")</f>
        <v>0</v>
      </c>
      <c r="P131" s="6"/>
      <c r="Q131" s="6"/>
      <c r="R131" s="6">
        <f t="shared" si="6"/>
        <v>0</v>
      </c>
      <c r="S131" s="6"/>
      <c r="T131" s="6"/>
      <c r="U131" s="6">
        <f t="shared" ref="U131:U194" si="8">IFERROR(T131-S131,"")</f>
        <v>0</v>
      </c>
    </row>
    <row r="132" spans="1:21" hidden="1" x14ac:dyDescent="0.2">
      <c r="A132" s="6" t="s">
        <v>341</v>
      </c>
      <c r="B132" s="6" t="s">
        <v>342</v>
      </c>
      <c r="C132" s="6" t="s">
        <v>342</v>
      </c>
      <c r="D132" s="6" t="s">
        <v>342</v>
      </c>
      <c r="E132" s="6"/>
      <c r="F132" s="6">
        <v>130</v>
      </c>
      <c r="G132" s="6"/>
      <c r="H132" s="6"/>
      <c r="I132" s="6"/>
      <c r="J132" s="6"/>
      <c r="K132" s="6"/>
      <c r="L132" s="7"/>
      <c r="M132" s="6"/>
      <c r="N132" s="6"/>
      <c r="O132" s="6">
        <f t="shared" si="7"/>
        <v>0</v>
      </c>
      <c r="P132" s="6"/>
      <c r="Q132" s="6"/>
      <c r="R132" s="6">
        <f t="shared" si="6"/>
        <v>0</v>
      </c>
      <c r="S132" s="6"/>
      <c r="T132" s="6"/>
      <c r="U132" s="6">
        <f t="shared" si="8"/>
        <v>0</v>
      </c>
    </row>
    <row r="133" spans="1:21" hidden="1" x14ac:dyDescent="0.2">
      <c r="A133" s="6" t="s">
        <v>341</v>
      </c>
      <c r="B133" s="6" t="s">
        <v>342</v>
      </c>
      <c r="C133" s="6" t="s">
        <v>342</v>
      </c>
      <c r="D133" s="6" t="s">
        <v>342</v>
      </c>
      <c r="E133" s="6"/>
      <c r="F133" s="6">
        <v>131</v>
      </c>
      <c r="G133" s="6"/>
      <c r="H133" s="6"/>
      <c r="I133" s="6"/>
      <c r="J133" s="6"/>
      <c r="K133" s="6"/>
      <c r="L133" s="7"/>
      <c r="M133" s="6"/>
      <c r="N133" s="6"/>
      <c r="O133" s="6">
        <f t="shared" si="7"/>
        <v>0</v>
      </c>
      <c r="P133" s="6"/>
      <c r="Q133" s="6"/>
      <c r="R133" s="6">
        <f t="shared" si="6"/>
        <v>0</v>
      </c>
      <c r="S133" s="6"/>
      <c r="T133" s="6"/>
      <c r="U133" s="6">
        <f t="shared" si="8"/>
        <v>0</v>
      </c>
    </row>
    <row r="134" spans="1:21" hidden="1" x14ac:dyDescent="0.2">
      <c r="A134" s="6" t="s">
        <v>341</v>
      </c>
      <c r="B134" s="6" t="s">
        <v>342</v>
      </c>
      <c r="C134" s="6" t="s">
        <v>342</v>
      </c>
      <c r="D134" s="6" t="s">
        <v>342</v>
      </c>
      <c r="E134" s="6"/>
      <c r="F134" s="6">
        <v>132</v>
      </c>
      <c r="G134" s="6"/>
      <c r="H134" s="6"/>
      <c r="I134" s="6"/>
      <c r="J134" s="6"/>
      <c r="K134" s="6"/>
      <c r="L134" s="7"/>
      <c r="M134" s="6"/>
      <c r="N134" s="6"/>
      <c r="O134" s="6">
        <f t="shared" si="7"/>
        <v>0</v>
      </c>
      <c r="P134" s="6"/>
      <c r="Q134" s="6"/>
      <c r="R134" s="6">
        <f t="shared" si="6"/>
        <v>0</v>
      </c>
      <c r="S134" s="6"/>
      <c r="T134" s="6"/>
      <c r="U134" s="6">
        <f t="shared" si="8"/>
        <v>0</v>
      </c>
    </row>
    <row r="135" spans="1:21" hidden="1" x14ac:dyDescent="0.2">
      <c r="A135" s="6" t="s">
        <v>341</v>
      </c>
      <c r="B135" s="6" t="s">
        <v>342</v>
      </c>
      <c r="C135" s="6" t="s">
        <v>342</v>
      </c>
      <c r="D135" s="6" t="s">
        <v>342</v>
      </c>
      <c r="E135" s="6"/>
      <c r="F135" s="6">
        <v>133</v>
      </c>
      <c r="G135" s="6"/>
      <c r="H135" s="6"/>
      <c r="I135" s="6"/>
      <c r="J135" s="6"/>
      <c r="K135" s="6"/>
      <c r="L135" s="7"/>
      <c r="M135" s="6"/>
      <c r="N135" s="6"/>
      <c r="O135" s="6">
        <f t="shared" si="7"/>
        <v>0</v>
      </c>
      <c r="P135" s="6"/>
      <c r="Q135" s="6"/>
      <c r="R135" s="6">
        <f t="shared" si="6"/>
        <v>0</v>
      </c>
      <c r="S135" s="6"/>
      <c r="T135" s="6"/>
      <c r="U135" s="6">
        <f t="shared" si="8"/>
        <v>0</v>
      </c>
    </row>
    <row r="136" spans="1:21" hidden="1" x14ac:dyDescent="0.2">
      <c r="A136" s="6" t="s">
        <v>341</v>
      </c>
      <c r="B136" s="6" t="s">
        <v>342</v>
      </c>
      <c r="C136" s="6" t="s">
        <v>342</v>
      </c>
      <c r="D136" s="6" t="s">
        <v>342</v>
      </c>
      <c r="E136" s="6"/>
      <c r="F136" s="6">
        <v>134</v>
      </c>
      <c r="G136" s="6"/>
      <c r="H136" s="6"/>
      <c r="I136" s="6"/>
      <c r="J136" s="6"/>
      <c r="K136" s="6"/>
      <c r="L136" s="7"/>
      <c r="M136" s="6"/>
      <c r="N136" s="6"/>
      <c r="O136" s="6">
        <f t="shared" si="7"/>
        <v>0</v>
      </c>
      <c r="P136" s="6"/>
      <c r="Q136" s="6"/>
      <c r="R136" s="6">
        <f t="shared" si="6"/>
        <v>0</v>
      </c>
      <c r="S136" s="6"/>
      <c r="T136" s="6"/>
      <c r="U136" s="6">
        <f t="shared" si="8"/>
        <v>0</v>
      </c>
    </row>
    <row r="137" spans="1:21" hidden="1" x14ac:dyDescent="0.2">
      <c r="A137" s="6" t="s">
        <v>341</v>
      </c>
      <c r="B137" s="6" t="s">
        <v>342</v>
      </c>
      <c r="C137" s="6" t="s">
        <v>342</v>
      </c>
      <c r="D137" s="6" t="s">
        <v>342</v>
      </c>
      <c r="E137" s="6"/>
      <c r="F137" s="6">
        <v>135</v>
      </c>
      <c r="G137" s="6"/>
      <c r="H137" s="6"/>
      <c r="I137" s="6"/>
      <c r="J137" s="6"/>
      <c r="K137" s="6"/>
      <c r="L137" s="7"/>
      <c r="M137" s="6"/>
      <c r="N137" s="6"/>
      <c r="O137" s="6">
        <f t="shared" si="7"/>
        <v>0</v>
      </c>
      <c r="P137" s="6"/>
      <c r="Q137" s="6"/>
      <c r="R137" s="6">
        <f t="shared" si="6"/>
        <v>0</v>
      </c>
      <c r="S137" s="6"/>
      <c r="T137" s="6"/>
      <c r="U137" s="6">
        <f t="shared" si="8"/>
        <v>0</v>
      </c>
    </row>
    <row r="138" spans="1:21" hidden="1" x14ac:dyDescent="0.2">
      <c r="A138" s="6" t="s">
        <v>341</v>
      </c>
      <c r="B138" s="6" t="s">
        <v>342</v>
      </c>
      <c r="C138" s="6" t="s">
        <v>342</v>
      </c>
      <c r="D138" s="6" t="s">
        <v>342</v>
      </c>
      <c r="E138" s="6"/>
      <c r="F138" s="6">
        <v>136</v>
      </c>
      <c r="G138" s="6"/>
      <c r="H138" s="6"/>
      <c r="I138" s="6"/>
      <c r="J138" s="6"/>
      <c r="K138" s="6"/>
      <c r="L138" s="7"/>
      <c r="M138" s="6"/>
      <c r="N138" s="6"/>
      <c r="O138" s="6">
        <f t="shared" si="7"/>
        <v>0</v>
      </c>
      <c r="P138" s="6"/>
      <c r="Q138" s="6"/>
      <c r="R138" s="6">
        <f t="shared" si="6"/>
        <v>0</v>
      </c>
      <c r="S138" s="6"/>
      <c r="T138" s="6"/>
      <c r="U138" s="6">
        <f t="shared" si="8"/>
        <v>0</v>
      </c>
    </row>
    <row r="139" spans="1:21" hidden="1" x14ac:dyDescent="0.2">
      <c r="A139" s="6" t="s">
        <v>341</v>
      </c>
      <c r="B139" s="6" t="s">
        <v>342</v>
      </c>
      <c r="C139" s="6" t="s">
        <v>342</v>
      </c>
      <c r="D139" s="6" t="s">
        <v>342</v>
      </c>
      <c r="E139" s="6"/>
      <c r="F139" s="6">
        <v>137</v>
      </c>
      <c r="G139" s="6"/>
      <c r="H139" s="6"/>
      <c r="I139" s="6"/>
      <c r="J139" s="6"/>
      <c r="K139" s="6"/>
      <c r="L139" s="7"/>
      <c r="M139" s="6"/>
      <c r="N139" s="6"/>
      <c r="O139" s="6">
        <f t="shared" si="7"/>
        <v>0</v>
      </c>
      <c r="P139" s="6"/>
      <c r="Q139" s="6"/>
      <c r="R139" s="6">
        <f t="shared" si="6"/>
        <v>0</v>
      </c>
      <c r="S139" s="6"/>
      <c r="T139" s="6"/>
      <c r="U139" s="6">
        <f t="shared" si="8"/>
        <v>0</v>
      </c>
    </row>
    <row r="140" spans="1:21" hidden="1" x14ac:dyDescent="0.2">
      <c r="A140" s="6" t="s">
        <v>341</v>
      </c>
      <c r="B140" s="6" t="s">
        <v>342</v>
      </c>
      <c r="C140" s="6" t="s">
        <v>342</v>
      </c>
      <c r="D140" s="6" t="s">
        <v>342</v>
      </c>
      <c r="E140" s="6"/>
      <c r="F140" s="6">
        <v>138</v>
      </c>
      <c r="G140" s="6"/>
      <c r="H140" s="6"/>
      <c r="I140" s="6"/>
      <c r="J140" s="6"/>
      <c r="K140" s="6"/>
      <c r="L140" s="7"/>
      <c r="M140" s="6"/>
      <c r="N140" s="6"/>
      <c r="O140" s="6">
        <f t="shared" si="7"/>
        <v>0</v>
      </c>
      <c r="P140" s="6"/>
      <c r="Q140" s="6"/>
      <c r="R140" s="6">
        <f t="shared" si="6"/>
        <v>0</v>
      </c>
      <c r="S140" s="6"/>
      <c r="T140" s="6"/>
      <c r="U140" s="6">
        <f t="shared" si="8"/>
        <v>0</v>
      </c>
    </row>
    <row r="141" spans="1:21" hidden="1" x14ac:dyDescent="0.2">
      <c r="A141" s="6" t="s">
        <v>341</v>
      </c>
      <c r="B141" s="6" t="s">
        <v>342</v>
      </c>
      <c r="C141" s="6" t="s">
        <v>342</v>
      </c>
      <c r="D141" s="6" t="s">
        <v>342</v>
      </c>
      <c r="E141" s="6"/>
      <c r="F141" s="6">
        <v>139</v>
      </c>
      <c r="G141" s="6"/>
      <c r="H141" s="6"/>
      <c r="I141" s="6"/>
      <c r="J141" s="6"/>
      <c r="K141" s="6"/>
      <c r="L141" s="7"/>
      <c r="M141" s="6"/>
      <c r="N141" s="6"/>
      <c r="O141" s="6">
        <f t="shared" si="7"/>
        <v>0</v>
      </c>
      <c r="P141" s="6"/>
      <c r="Q141" s="6"/>
      <c r="R141" s="6">
        <f t="shared" si="6"/>
        <v>0</v>
      </c>
      <c r="S141" s="6"/>
      <c r="T141" s="6"/>
      <c r="U141" s="6">
        <f t="shared" si="8"/>
        <v>0</v>
      </c>
    </row>
    <row r="142" spans="1:21" hidden="1" x14ac:dyDescent="0.2">
      <c r="A142" s="6" t="s">
        <v>341</v>
      </c>
      <c r="B142" s="6" t="s">
        <v>342</v>
      </c>
      <c r="C142" s="6" t="s">
        <v>342</v>
      </c>
      <c r="D142" s="6" t="s">
        <v>342</v>
      </c>
      <c r="E142" s="6"/>
      <c r="F142" s="6">
        <v>140</v>
      </c>
      <c r="G142" s="6"/>
      <c r="H142" s="6"/>
      <c r="I142" s="6"/>
      <c r="J142" s="6"/>
      <c r="K142" s="6"/>
      <c r="L142" s="7"/>
      <c r="M142" s="6"/>
      <c r="N142" s="6"/>
      <c r="O142" s="6">
        <f t="shared" si="7"/>
        <v>0</v>
      </c>
      <c r="P142" s="6"/>
      <c r="Q142" s="6"/>
      <c r="R142" s="6">
        <f t="shared" si="6"/>
        <v>0</v>
      </c>
      <c r="S142" s="6"/>
      <c r="T142" s="6"/>
      <c r="U142" s="6">
        <f t="shared" si="8"/>
        <v>0</v>
      </c>
    </row>
    <row r="143" spans="1:21" hidden="1" x14ac:dyDescent="0.2">
      <c r="A143" s="6" t="s">
        <v>341</v>
      </c>
      <c r="B143" s="6" t="s">
        <v>342</v>
      </c>
      <c r="C143" s="6" t="s">
        <v>342</v>
      </c>
      <c r="D143" s="6" t="s">
        <v>342</v>
      </c>
      <c r="E143" s="6"/>
      <c r="F143" s="6">
        <v>141</v>
      </c>
      <c r="G143" s="6"/>
      <c r="H143" s="6"/>
      <c r="I143" s="6"/>
      <c r="J143" s="6"/>
      <c r="K143" s="6"/>
      <c r="L143" s="7"/>
      <c r="M143" s="6"/>
      <c r="N143" s="6"/>
      <c r="O143" s="6">
        <f t="shared" si="7"/>
        <v>0</v>
      </c>
      <c r="P143" s="6"/>
      <c r="Q143" s="6"/>
      <c r="R143" s="6">
        <f t="shared" si="6"/>
        <v>0</v>
      </c>
      <c r="S143" s="6"/>
      <c r="T143" s="6"/>
      <c r="U143" s="6">
        <f t="shared" si="8"/>
        <v>0</v>
      </c>
    </row>
    <row r="144" spans="1:21" hidden="1" x14ac:dyDescent="0.2">
      <c r="A144" s="6" t="s">
        <v>341</v>
      </c>
      <c r="B144" s="6" t="s">
        <v>342</v>
      </c>
      <c r="C144" s="6" t="s">
        <v>342</v>
      </c>
      <c r="D144" s="6" t="s">
        <v>342</v>
      </c>
      <c r="E144" s="6"/>
      <c r="F144" s="6">
        <v>142</v>
      </c>
      <c r="G144" s="6"/>
      <c r="H144" s="6"/>
      <c r="I144" s="6"/>
      <c r="J144" s="6"/>
      <c r="K144" s="6"/>
      <c r="L144" s="7"/>
      <c r="M144" s="6"/>
      <c r="N144" s="6"/>
      <c r="O144" s="6">
        <f t="shared" si="7"/>
        <v>0</v>
      </c>
      <c r="P144" s="6"/>
      <c r="Q144" s="6"/>
      <c r="R144" s="6">
        <f t="shared" si="6"/>
        <v>0</v>
      </c>
      <c r="S144" s="6"/>
      <c r="T144" s="6"/>
      <c r="U144" s="6">
        <f t="shared" si="8"/>
        <v>0</v>
      </c>
    </row>
    <row r="145" spans="1:21" hidden="1" x14ac:dyDescent="0.2">
      <c r="A145" s="6" t="s">
        <v>341</v>
      </c>
      <c r="B145" s="6" t="s">
        <v>342</v>
      </c>
      <c r="C145" s="6" t="s">
        <v>342</v>
      </c>
      <c r="D145" s="6" t="s">
        <v>342</v>
      </c>
      <c r="E145" s="6"/>
      <c r="F145" s="6">
        <v>143</v>
      </c>
      <c r="G145" s="6"/>
      <c r="H145" s="6"/>
      <c r="I145" s="6"/>
      <c r="J145" s="6"/>
      <c r="K145" s="6"/>
      <c r="L145" s="7"/>
      <c r="M145" s="6"/>
      <c r="N145" s="6"/>
      <c r="O145" s="6">
        <f t="shared" si="7"/>
        <v>0</v>
      </c>
      <c r="P145" s="6"/>
      <c r="Q145" s="6"/>
      <c r="R145" s="6">
        <f t="shared" si="6"/>
        <v>0</v>
      </c>
      <c r="S145" s="6"/>
      <c r="T145" s="6"/>
      <c r="U145" s="6">
        <f t="shared" si="8"/>
        <v>0</v>
      </c>
    </row>
    <row r="146" spans="1:21" hidden="1" x14ac:dyDescent="0.2">
      <c r="A146" s="6" t="s">
        <v>341</v>
      </c>
      <c r="B146" s="6" t="s">
        <v>342</v>
      </c>
      <c r="C146" s="6" t="s">
        <v>342</v>
      </c>
      <c r="D146" s="6" t="s">
        <v>342</v>
      </c>
      <c r="E146" s="6"/>
      <c r="F146" s="6">
        <v>144</v>
      </c>
      <c r="G146" s="6"/>
      <c r="H146" s="6"/>
      <c r="I146" s="6"/>
      <c r="J146" s="6"/>
      <c r="K146" s="6"/>
      <c r="L146" s="7"/>
      <c r="M146" s="6"/>
      <c r="N146" s="6"/>
      <c r="O146" s="6">
        <f t="shared" si="7"/>
        <v>0</v>
      </c>
      <c r="P146" s="6"/>
      <c r="Q146" s="6"/>
      <c r="R146" s="6">
        <f t="shared" si="6"/>
        <v>0</v>
      </c>
      <c r="S146" s="6"/>
      <c r="T146" s="6"/>
      <c r="U146" s="6">
        <f t="shared" si="8"/>
        <v>0</v>
      </c>
    </row>
    <row r="147" spans="1:21" hidden="1" x14ac:dyDescent="0.2">
      <c r="A147" s="6" t="s">
        <v>341</v>
      </c>
      <c r="B147" s="6" t="s">
        <v>342</v>
      </c>
      <c r="C147" s="6" t="s">
        <v>342</v>
      </c>
      <c r="D147" s="6" t="s">
        <v>342</v>
      </c>
      <c r="E147" s="6"/>
      <c r="F147" s="6">
        <v>145</v>
      </c>
      <c r="G147" s="6"/>
      <c r="H147" s="6"/>
      <c r="I147" s="6"/>
      <c r="J147" s="6"/>
      <c r="K147" s="6"/>
      <c r="L147" s="7"/>
      <c r="M147" s="6"/>
      <c r="N147" s="6"/>
      <c r="O147" s="6">
        <f t="shared" si="7"/>
        <v>0</v>
      </c>
      <c r="P147" s="6"/>
      <c r="Q147" s="6"/>
      <c r="R147" s="6">
        <f t="shared" si="6"/>
        <v>0</v>
      </c>
      <c r="S147" s="6"/>
      <c r="T147" s="6"/>
      <c r="U147" s="6">
        <f t="shared" si="8"/>
        <v>0</v>
      </c>
    </row>
    <row r="148" spans="1:21" hidden="1" x14ac:dyDescent="0.2">
      <c r="A148" s="6" t="s">
        <v>341</v>
      </c>
      <c r="B148" s="6" t="s">
        <v>342</v>
      </c>
      <c r="C148" s="6" t="s">
        <v>342</v>
      </c>
      <c r="D148" s="6" t="s">
        <v>342</v>
      </c>
      <c r="E148" s="6"/>
      <c r="F148" s="6">
        <v>146</v>
      </c>
      <c r="G148" s="6"/>
      <c r="H148" s="6"/>
      <c r="I148" s="6"/>
      <c r="J148" s="6"/>
      <c r="K148" s="6"/>
      <c r="L148" s="7"/>
      <c r="M148" s="6"/>
      <c r="N148" s="6"/>
      <c r="O148" s="6">
        <f t="shared" si="7"/>
        <v>0</v>
      </c>
      <c r="P148" s="6"/>
      <c r="Q148" s="6"/>
      <c r="R148" s="6">
        <f t="shared" si="6"/>
        <v>0</v>
      </c>
      <c r="S148" s="6"/>
      <c r="T148" s="6"/>
      <c r="U148" s="6">
        <f t="shared" si="8"/>
        <v>0</v>
      </c>
    </row>
    <row r="149" spans="1:21" hidden="1" x14ac:dyDescent="0.2">
      <c r="A149" s="6" t="s">
        <v>341</v>
      </c>
      <c r="B149" s="6" t="s">
        <v>342</v>
      </c>
      <c r="C149" s="6" t="s">
        <v>342</v>
      </c>
      <c r="D149" s="6" t="s">
        <v>342</v>
      </c>
      <c r="E149" s="6"/>
      <c r="F149" s="6">
        <v>147</v>
      </c>
      <c r="G149" s="6"/>
      <c r="H149" s="6"/>
      <c r="I149" s="6"/>
      <c r="J149" s="6"/>
      <c r="K149" s="6"/>
      <c r="L149" s="7"/>
      <c r="M149" s="6"/>
      <c r="N149" s="6"/>
      <c r="O149" s="6">
        <f t="shared" si="7"/>
        <v>0</v>
      </c>
      <c r="P149" s="6"/>
      <c r="Q149" s="6"/>
      <c r="R149" s="6">
        <f t="shared" si="6"/>
        <v>0</v>
      </c>
      <c r="S149" s="6"/>
      <c r="T149" s="6"/>
      <c r="U149" s="6">
        <f t="shared" si="8"/>
        <v>0</v>
      </c>
    </row>
    <row r="150" spans="1:21" hidden="1" x14ac:dyDescent="0.2">
      <c r="A150" s="6" t="s">
        <v>341</v>
      </c>
      <c r="B150" s="6" t="s">
        <v>342</v>
      </c>
      <c r="C150" s="6" t="s">
        <v>342</v>
      </c>
      <c r="D150" s="6" t="s">
        <v>342</v>
      </c>
      <c r="E150" s="6"/>
      <c r="F150" s="6">
        <v>148</v>
      </c>
      <c r="G150" s="6"/>
      <c r="H150" s="6"/>
      <c r="I150" s="6"/>
      <c r="J150" s="6"/>
      <c r="K150" s="6"/>
      <c r="L150" s="7"/>
      <c r="M150" s="6"/>
      <c r="N150" s="6"/>
      <c r="O150" s="6">
        <f t="shared" si="7"/>
        <v>0</v>
      </c>
      <c r="P150" s="6"/>
      <c r="Q150" s="6"/>
      <c r="R150" s="6">
        <f t="shared" si="6"/>
        <v>0</v>
      </c>
      <c r="S150" s="6"/>
      <c r="T150" s="6"/>
      <c r="U150" s="6">
        <f t="shared" si="8"/>
        <v>0</v>
      </c>
    </row>
    <row r="151" spans="1:21" hidden="1" x14ac:dyDescent="0.2">
      <c r="A151" s="6" t="s">
        <v>341</v>
      </c>
      <c r="B151" s="6" t="s">
        <v>342</v>
      </c>
      <c r="C151" s="6" t="s">
        <v>342</v>
      </c>
      <c r="D151" s="6" t="s">
        <v>342</v>
      </c>
      <c r="E151" s="6"/>
      <c r="F151" s="6">
        <v>149</v>
      </c>
      <c r="G151" s="6"/>
      <c r="H151" s="6"/>
      <c r="I151" s="6"/>
      <c r="J151" s="6"/>
      <c r="K151" s="6"/>
      <c r="L151" s="7"/>
      <c r="M151" s="6"/>
      <c r="N151" s="6"/>
      <c r="O151" s="6">
        <f t="shared" si="7"/>
        <v>0</v>
      </c>
      <c r="P151" s="6"/>
      <c r="Q151" s="6"/>
      <c r="R151" s="6">
        <f t="shared" si="6"/>
        <v>0</v>
      </c>
      <c r="S151" s="6"/>
      <c r="T151" s="6"/>
      <c r="U151" s="6">
        <f t="shared" si="8"/>
        <v>0</v>
      </c>
    </row>
    <row r="152" spans="1:21" hidden="1" x14ac:dyDescent="0.2">
      <c r="A152" s="6" t="s">
        <v>341</v>
      </c>
      <c r="B152" s="6" t="s">
        <v>342</v>
      </c>
      <c r="C152" s="6" t="s">
        <v>342</v>
      </c>
      <c r="D152" s="6" t="s">
        <v>342</v>
      </c>
      <c r="E152" s="6"/>
      <c r="F152" s="6">
        <v>150</v>
      </c>
      <c r="G152" s="6"/>
      <c r="H152" s="6"/>
      <c r="I152" s="6"/>
      <c r="J152" s="6"/>
      <c r="K152" s="6"/>
      <c r="L152" s="7"/>
      <c r="M152" s="6"/>
      <c r="N152" s="6"/>
      <c r="O152" s="6">
        <f t="shared" si="7"/>
        <v>0</v>
      </c>
      <c r="P152" s="6"/>
      <c r="Q152" s="6"/>
      <c r="R152" s="6">
        <f t="shared" si="6"/>
        <v>0</v>
      </c>
      <c r="S152" s="6"/>
      <c r="T152" s="6"/>
      <c r="U152" s="6">
        <f t="shared" si="8"/>
        <v>0</v>
      </c>
    </row>
    <row r="153" spans="1:21" hidden="1" x14ac:dyDescent="0.2">
      <c r="A153" s="6" t="s">
        <v>341</v>
      </c>
      <c r="B153" s="6" t="s">
        <v>342</v>
      </c>
      <c r="C153" s="6" t="s">
        <v>342</v>
      </c>
      <c r="D153" s="6" t="s">
        <v>342</v>
      </c>
      <c r="E153" s="6"/>
      <c r="F153" s="6">
        <v>151</v>
      </c>
      <c r="G153" s="6"/>
      <c r="H153" s="6"/>
      <c r="I153" s="6"/>
      <c r="J153" s="6"/>
      <c r="K153" s="6"/>
      <c r="L153" s="7"/>
      <c r="M153" s="6"/>
      <c r="N153" s="6"/>
      <c r="O153" s="6">
        <f t="shared" si="7"/>
        <v>0</v>
      </c>
      <c r="P153" s="6"/>
      <c r="Q153" s="6"/>
      <c r="R153" s="6">
        <f t="shared" ref="R153:R216" si="9">IFERROR(Q153-P153,"")</f>
        <v>0</v>
      </c>
      <c r="S153" s="6"/>
      <c r="T153" s="6"/>
      <c r="U153" s="6">
        <f t="shared" si="8"/>
        <v>0</v>
      </c>
    </row>
    <row r="154" spans="1:21" hidden="1" x14ac:dyDescent="0.2">
      <c r="A154" s="6" t="s">
        <v>341</v>
      </c>
      <c r="B154" s="6" t="s">
        <v>342</v>
      </c>
      <c r="C154" s="6" t="s">
        <v>342</v>
      </c>
      <c r="D154" s="6" t="s">
        <v>342</v>
      </c>
      <c r="E154" s="6"/>
      <c r="F154" s="6">
        <v>152</v>
      </c>
      <c r="G154" s="6"/>
      <c r="H154" s="6"/>
      <c r="I154" s="6"/>
      <c r="J154" s="6"/>
      <c r="K154" s="6"/>
      <c r="L154" s="7"/>
      <c r="M154" s="6"/>
      <c r="N154" s="6"/>
      <c r="O154" s="6">
        <f t="shared" si="7"/>
        <v>0</v>
      </c>
      <c r="P154" s="6"/>
      <c r="Q154" s="6"/>
      <c r="R154" s="6">
        <f t="shared" si="9"/>
        <v>0</v>
      </c>
      <c r="S154" s="6"/>
      <c r="T154" s="6"/>
      <c r="U154" s="6">
        <f t="shared" si="8"/>
        <v>0</v>
      </c>
    </row>
    <row r="155" spans="1:21" hidden="1" x14ac:dyDescent="0.2">
      <c r="A155" s="6" t="s">
        <v>341</v>
      </c>
      <c r="B155" s="6" t="s">
        <v>342</v>
      </c>
      <c r="C155" s="6" t="s">
        <v>342</v>
      </c>
      <c r="D155" s="6" t="s">
        <v>342</v>
      </c>
      <c r="E155" s="6"/>
      <c r="F155" s="6">
        <v>153</v>
      </c>
      <c r="G155" s="6"/>
      <c r="H155" s="6"/>
      <c r="I155" s="6"/>
      <c r="J155" s="6"/>
      <c r="K155" s="6"/>
      <c r="L155" s="7"/>
      <c r="M155" s="6"/>
      <c r="N155" s="6"/>
      <c r="O155" s="6">
        <f t="shared" si="7"/>
        <v>0</v>
      </c>
      <c r="P155" s="6"/>
      <c r="Q155" s="6"/>
      <c r="R155" s="6">
        <f t="shared" si="9"/>
        <v>0</v>
      </c>
      <c r="S155" s="6"/>
      <c r="T155" s="6"/>
      <c r="U155" s="6">
        <f t="shared" si="8"/>
        <v>0</v>
      </c>
    </row>
    <row r="156" spans="1:21" hidden="1" x14ac:dyDescent="0.2">
      <c r="A156" s="6" t="s">
        <v>341</v>
      </c>
      <c r="B156" s="6" t="s">
        <v>342</v>
      </c>
      <c r="C156" s="6" t="s">
        <v>342</v>
      </c>
      <c r="D156" s="6" t="s">
        <v>342</v>
      </c>
      <c r="E156" s="6"/>
      <c r="F156" s="6">
        <v>154</v>
      </c>
      <c r="G156" s="6"/>
      <c r="H156" s="6"/>
      <c r="I156" s="6"/>
      <c r="J156" s="6"/>
      <c r="K156" s="6"/>
      <c r="L156" s="7"/>
      <c r="M156" s="6"/>
      <c r="N156" s="6"/>
      <c r="O156" s="6">
        <f t="shared" si="7"/>
        <v>0</v>
      </c>
      <c r="P156" s="6"/>
      <c r="Q156" s="6"/>
      <c r="R156" s="6">
        <f t="shared" si="9"/>
        <v>0</v>
      </c>
      <c r="S156" s="6"/>
      <c r="T156" s="6"/>
      <c r="U156" s="6">
        <f t="shared" si="8"/>
        <v>0</v>
      </c>
    </row>
    <row r="157" spans="1:21" hidden="1" x14ac:dyDescent="0.2">
      <c r="A157" s="6" t="s">
        <v>341</v>
      </c>
      <c r="B157" s="6" t="s">
        <v>342</v>
      </c>
      <c r="C157" s="6" t="s">
        <v>342</v>
      </c>
      <c r="D157" s="6" t="s">
        <v>342</v>
      </c>
      <c r="E157" s="6"/>
      <c r="F157" s="6">
        <v>155</v>
      </c>
      <c r="G157" s="6"/>
      <c r="H157" s="6"/>
      <c r="I157" s="6"/>
      <c r="J157" s="6"/>
      <c r="K157" s="6"/>
      <c r="L157" s="7"/>
      <c r="M157" s="6"/>
      <c r="N157" s="6"/>
      <c r="O157" s="6">
        <f t="shared" si="7"/>
        <v>0</v>
      </c>
      <c r="P157" s="6"/>
      <c r="Q157" s="6"/>
      <c r="R157" s="6">
        <f t="shared" si="9"/>
        <v>0</v>
      </c>
      <c r="S157" s="6"/>
      <c r="T157" s="6"/>
      <c r="U157" s="6">
        <f t="shared" si="8"/>
        <v>0</v>
      </c>
    </row>
    <row r="158" spans="1:21" hidden="1" x14ac:dyDescent="0.2">
      <c r="A158" s="6" t="s">
        <v>341</v>
      </c>
      <c r="B158" s="6" t="s">
        <v>342</v>
      </c>
      <c r="C158" s="6" t="s">
        <v>342</v>
      </c>
      <c r="D158" s="6" t="s">
        <v>342</v>
      </c>
      <c r="E158" s="6"/>
      <c r="F158" s="6">
        <v>156</v>
      </c>
      <c r="G158" s="6"/>
      <c r="H158" s="6"/>
      <c r="I158" s="6"/>
      <c r="J158" s="6"/>
      <c r="K158" s="6"/>
      <c r="L158" s="7"/>
      <c r="M158" s="6"/>
      <c r="N158" s="6"/>
      <c r="O158" s="6">
        <f t="shared" si="7"/>
        <v>0</v>
      </c>
      <c r="P158" s="6"/>
      <c r="Q158" s="6"/>
      <c r="R158" s="6">
        <f t="shared" si="9"/>
        <v>0</v>
      </c>
      <c r="S158" s="6"/>
      <c r="T158" s="6"/>
      <c r="U158" s="6">
        <f t="shared" si="8"/>
        <v>0</v>
      </c>
    </row>
    <row r="159" spans="1:21" hidden="1" x14ac:dyDescent="0.2">
      <c r="A159" s="6" t="s">
        <v>341</v>
      </c>
      <c r="B159" s="6" t="s">
        <v>342</v>
      </c>
      <c r="C159" s="6" t="s">
        <v>342</v>
      </c>
      <c r="D159" s="6" t="s">
        <v>342</v>
      </c>
      <c r="E159" s="6"/>
      <c r="F159" s="6">
        <v>157</v>
      </c>
      <c r="G159" s="6"/>
      <c r="H159" s="6"/>
      <c r="I159" s="6"/>
      <c r="J159" s="6"/>
      <c r="K159" s="6"/>
      <c r="L159" s="7"/>
      <c r="M159" s="6"/>
      <c r="N159" s="6"/>
      <c r="O159" s="6">
        <f t="shared" si="7"/>
        <v>0</v>
      </c>
      <c r="P159" s="6"/>
      <c r="Q159" s="6"/>
      <c r="R159" s="6">
        <f t="shared" si="9"/>
        <v>0</v>
      </c>
      <c r="S159" s="6"/>
      <c r="T159" s="6"/>
      <c r="U159" s="6">
        <f t="shared" si="8"/>
        <v>0</v>
      </c>
    </row>
    <row r="160" spans="1:21" hidden="1" x14ac:dyDescent="0.2">
      <c r="A160" s="6" t="s">
        <v>341</v>
      </c>
      <c r="B160" s="6" t="s">
        <v>342</v>
      </c>
      <c r="C160" s="6" t="s">
        <v>342</v>
      </c>
      <c r="D160" s="6" t="s">
        <v>342</v>
      </c>
      <c r="E160" s="6"/>
      <c r="F160" s="6">
        <v>158</v>
      </c>
      <c r="G160" s="6"/>
      <c r="H160" s="6"/>
      <c r="I160" s="6"/>
      <c r="J160" s="6"/>
      <c r="K160" s="6"/>
      <c r="L160" s="7"/>
      <c r="M160" s="6"/>
      <c r="N160" s="6"/>
      <c r="O160" s="6">
        <f t="shared" si="7"/>
        <v>0</v>
      </c>
      <c r="P160" s="6"/>
      <c r="Q160" s="6"/>
      <c r="R160" s="6">
        <f t="shared" si="9"/>
        <v>0</v>
      </c>
      <c r="S160" s="6"/>
      <c r="T160" s="6"/>
      <c r="U160" s="6">
        <f t="shared" si="8"/>
        <v>0</v>
      </c>
    </row>
    <row r="161" spans="1:21" hidden="1" x14ac:dyDescent="0.2">
      <c r="A161" s="6" t="s">
        <v>341</v>
      </c>
      <c r="B161" s="6" t="s">
        <v>342</v>
      </c>
      <c r="C161" s="6" t="s">
        <v>342</v>
      </c>
      <c r="D161" s="6" t="s">
        <v>342</v>
      </c>
      <c r="E161" s="6"/>
      <c r="F161" s="6">
        <v>159</v>
      </c>
      <c r="G161" s="6"/>
      <c r="H161" s="6"/>
      <c r="I161" s="6"/>
      <c r="J161" s="6"/>
      <c r="K161" s="6"/>
      <c r="L161" s="7"/>
      <c r="M161" s="6"/>
      <c r="N161" s="6"/>
      <c r="O161" s="6">
        <f t="shared" si="7"/>
        <v>0</v>
      </c>
      <c r="P161" s="6"/>
      <c r="Q161" s="6"/>
      <c r="R161" s="6">
        <f t="shared" si="9"/>
        <v>0</v>
      </c>
      <c r="S161" s="6"/>
      <c r="T161" s="6"/>
      <c r="U161" s="6">
        <f t="shared" si="8"/>
        <v>0</v>
      </c>
    </row>
    <row r="162" spans="1:21" hidden="1" x14ac:dyDescent="0.2">
      <c r="A162" s="6" t="s">
        <v>341</v>
      </c>
      <c r="B162" s="6" t="s">
        <v>342</v>
      </c>
      <c r="C162" s="6" t="s">
        <v>342</v>
      </c>
      <c r="D162" s="6" t="s">
        <v>342</v>
      </c>
      <c r="E162" s="6"/>
      <c r="F162" s="6">
        <v>160</v>
      </c>
      <c r="G162" s="6"/>
      <c r="H162" s="6"/>
      <c r="I162" s="6"/>
      <c r="J162" s="6"/>
      <c r="K162" s="6"/>
      <c r="L162" s="7"/>
      <c r="M162" s="6"/>
      <c r="N162" s="6"/>
      <c r="O162" s="6">
        <f t="shared" si="7"/>
        <v>0</v>
      </c>
      <c r="P162" s="6"/>
      <c r="Q162" s="6"/>
      <c r="R162" s="6">
        <f t="shared" si="9"/>
        <v>0</v>
      </c>
      <c r="S162" s="6"/>
      <c r="T162" s="6"/>
      <c r="U162" s="6">
        <f t="shared" si="8"/>
        <v>0</v>
      </c>
    </row>
    <row r="163" spans="1:21" hidden="1" x14ac:dyDescent="0.2">
      <c r="A163" s="6" t="s">
        <v>341</v>
      </c>
      <c r="B163" s="6" t="s">
        <v>342</v>
      </c>
      <c r="C163" s="6" t="s">
        <v>342</v>
      </c>
      <c r="D163" s="6" t="s">
        <v>342</v>
      </c>
      <c r="E163" s="6"/>
      <c r="F163" s="6">
        <v>161</v>
      </c>
      <c r="G163" s="6"/>
      <c r="H163" s="6"/>
      <c r="I163" s="6"/>
      <c r="J163" s="6"/>
      <c r="K163" s="6"/>
      <c r="L163" s="7"/>
      <c r="M163" s="6"/>
      <c r="N163" s="6"/>
      <c r="O163" s="6">
        <f t="shared" si="7"/>
        <v>0</v>
      </c>
      <c r="P163" s="6"/>
      <c r="Q163" s="6"/>
      <c r="R163" s="6">
        <f t="shared" si="9"/>
        <v>0</v>
      </c>
      <c r="S163" s="6"/>
      <c r="T163" s="6"/>
      <c r="U163" s="6">
        <f t="shared" si="8"/>
        <v>0</v>
      </c>
    </row>
    <row r="164" spans="1:21" hidden="1" x14ac:dyDescent="0.2">
      <c r="A164" s="6" t="s">
        <v>341</v>
      </c>
      <c r="B164" s="6" t="s">
        <v>342</v>
      </c>
      <c r="C164" s="6" t="s">
        <v>342</v>
      </c>
      <c r="D164" s="6" t="s">
        <v>342</v>
      </c>
      <c r="E164" s="6"/>
      <c r="F164" s="6">
        <v>162</v>
      </c>
      <c r="G164" s="6"/>
      <c r="H164" s="6"/>
      <c r="I164" s="6"/>
      <c r="J164" s="6"/>
      <c r="K164" s="6"/>
      <c r="L164" s="7"/>
      <c r="M164" s="6"/>
      <c r="N164" s="6"/>
      <c r="O164" s="6">
        <f t="shared" si="7"/>
        <v>0</v>
      </c>
      <c r="P164" s="6"/>
      <c r="Q164" s="6"/>
      <c r="R164" s="6">
        <f t="shared" si="9"/>
        <v>0</v>
      </c>
      <c r="S164" s="6"/>
      <c r="T164" s="6"/>
      <c r="U164" s="6">
        <f t="shared" si="8"/>
        <v>0</v>
      </c>
    </row>
    <row r="165" spans="1:21" hidden="1" x14ac:dyDescent="0.2">
      <c r="A165" s="6" t="s">
        <v>341</v>
      </c>
      <c r="B165" s="6" t="s">
        <v>342</v>
      </c>
      <c r="C165" s="6" t="s">
        <v>342</v>
      </c>
      <c r="D165" s="6" t="s">
        <v>342</v>
      </c>
      <c r="E165" s="6"/>
      <c r="F165" s="6">
        <v>163</v>
      </c>
      <c r="G165" s="6"/>
      <c r="H165" s="6"/>
      <c r="I165" s="6"/>
      <c r="J165" s="6"/>
      <c r="K165" s="6"/>
      <c r="L165" s="7"/>
      <c r="M165" s="6"/>
      <c r="N165" s="6"/>
      <c r="O165" s="6">
        <f t="shared" si="7"/>
        <v>0</v>
      </c>
      <c r="P165" s="6"/>
      <c r="Q165" s="6"/>
      <c r="R165" s="6">
        <f t="shared" si="9"/>
        <v>0</v>
      </c>
      <c r="S165" s="6"/>
      <c r="T165" s="6"/>
      <c r="U165" s="6">
        <f t="shared" si="8"/>
        <v>0</v>
      </c>
    </row>
    <row r="166" spans="1:21" hidden="1" x14ac:dyDescent="0.2">
      <c r="A166" s="6" t="s">
        <v>341</v>
      </c>
      <c r="B166" s="6" t="s">
        <v>342</v>
      </c>
      <c r="C166" s="6" t="s">
        <v>342</v>
      </c>
      <c r="D166" s="6" t="s">
        <v>342</v>
      </c>
      <c r="E166" s="6"/>
      <c r="F166" s="6">
        <v>164</v>
      </c>
      <c r="G166" s="6"/>
      <c r="H166" s="6"/>
      <c r="I166" s="6"/>
      <c r="J166" s="6"/>
      <c r="K166" s="6"/>
      <c r="L166" s="7"/>
      <c r="M166" s="6"/>
      <c r="N166" s="6"/>
      <c r="O166" s="6">
        <f t="shared" si="7"/>
        <v>0</v>
      </c>
      <c r="P166" s="6"/>
      <c r="Q166" s="6"/>
      <c r="R166" s="6">
        <f t="shared" si="9"/>
        <v>0</v>
      </c>
      <c r="S166" s="6"/>
      <c r="T166" s="6"/>
      <c r="U166" s="6">
        <f t="shared" si="8"/>
        <v>0</v>
      </c>
    </row>
    <row r="167" spans="1:21" hidden="1" x14ac:dyDescent="0.2">
      <c r="A167" s="6" t="s">
        <v>341</v>
      </c>
      <c r="B167" s="6" t="s">
        <v>342</v>
      </c>
      <c r="C167" s="6" t="s">
        <v>342</v>
      </c>
      <c r="D167" s="6" t="s">
        <v>342</v>
      </c>
      <c r="E167" s="6"/>
      <c r="F167" s="6">
        <v>165</v>
      </c>
      <c r="G167" s="6"/>
      <c r="H167" s="6"/>
      <c r="I167" s="6"/>
      <c r="J167" s="6"/>
      <c r="K167" s="6"/>
      <c r="L167" s="7"/>
      <c r="M167" s="6"/>
      <c r="N167" s="6"/>
      <c r="O167" s="6">
        <f t="shared" si="7"/>
        <v>0</v>
      </c>
      <c r="P167" s="6"/>
      <c r="Q167" s="6"/>
      <c r="R167" s="6">
        <f t="shared" si="9"/>
        <v>0</v>
      </c>
      <c r="S167" s="6"/>
      <c r="T167" s="6"/>
      <c r="U167" s="6">
        <f t="shared" si="8"/>
        <v>0</v>
      </c>
    </row>
    <row r="168" spans="1:21" hidden="1" x14ac:dyDescent="0.2">
      <c r="A168" s="6" t="s">
        <v>341</v>
      </c>
      <c r="B168" s="6" t="s">
        <v>342</v>
      </c>
      <c r="C168" s="6" t="s">
        <v>342</v>
      </c>
      <c r="D168" s="6" t="s">
        <v>342</v>
      </c>
      <c r="E168" s="6"/>
      <c r="F168" s="6">
        <v>166</v>
      </c>
      <c r="G168" s="6"/>
      <c r="H168" s="6"/>
      <c r="I168" s="6"/>
      <c r="J168" s="6"/>
      <c r="K168" s="6"/>
      <c r="L168" s="7"/>
      <c r="M168" s="6"/>
      <c r="N168" s="6"/>
      <c r="O168" s="6">
        <f t="shared" si="7"/>
        <v>0</v>
      </c>
      <c r="P168" s="6"/>
      <c r="Q168" s="6"/>
      <c r="R168" s="6">
        <f t="shared" si="9"/>
        <v>0</v>
      </c>
      <c r="S168" s="6"/>
      <c r="T168" s="6"/>
      <c r="U168" s="6">
        <f t="shared" si="8"/>
        <v>0</v>
      </c>
    </row>
    <row r="169" spans="1:21" hidden="1" x14ac:dyDescent="0.2">
      <c r="A169" s="6" t="s">
        <v>341</v>
      </c>
      <c r="B169" s="6" t="s">
        <v>342</v>
      </c>
      <c r="C169" s="6" t="s">
        <v>342</v>
      </c>
      <c r="D169" s="6" t="s">
        <v>342</v>
      </c>
      <c r="E169" s="6"/>
      <c r="F169" s="6">
        <v>167</v>
      </c>
      <c r="G169" s="6"/>
      <c r="H169" s="6"/>
      <c r="I169" s="6"/>
      <c r="J169" s="6"/>
      <c r="K169" s="6"/>
      <c r="L169" s="7"/>
      <c r="M169" s="6"/>
      <c r="N169" s="6"/>
      <c r="O169" s="6">
        <f t="shared" si="7"/>
        <v>0</v>
      </c>
      <c r="P169" s="6"/>
      <c r="Q169" s="6"/>
      <c r="R169" s="6">
        <f t="shared" si="9"/>
        <v>0</v>
      </c>
      <c r="S169" s="6"/>
      <c r="T169" s="6"/>
      <c r="U169" s="6">
        <f t="shared" si="8"/>
        <v>0</v>
      </c>
    </row>
    <row r="170" spans="1:21" hidden="1" x14ac:dyDescent="0.2">
      <c r="A170" s="6" t="s">
        <v>341</v>
      </c>
      <c r="B170" s="6" t="s">
        <v>342</v>
      </c>
      <c r="C170" s="6" t="s">
        <v>342</v>
      </c>
      <c r="D170" s="6" t="s">
        <v>342</v>
      </c>
      <c r="E170" s="6"/>
      <c r="F170" s="6">
        <v>168</v>
      </c>
      <c r="G170" s="6"/>
      <c r="H170" s="6"/>
      <c r="I170" s="6"/>
      <c r="J170" s="6"/>
      <c r="K170" s="6"/>
      <c r="L170" s="7"/>
      <c r="M170" s="6"/>
      <c r="N170" s="6"/>
      <c r="O170" s="6">
        <f t="shared" si="7"/>
        <v>0</v>
      </c>
      <c r="P170" s="6"/>
      <c r="Q170" s="6"/>
      <c r="R170" s="6">
        <f t="shared" si="9"/>
        <v>0</v>
      </c>
      <c r="S170" s="6"/>
      <c r="T170" s="6"/>
      <c r="U170" s="6">
        <f t="shared" si="8"/>
        <v>0</v>
      </c>
    </row>
    <row r="171" spans="1:21" hidden="1" x14ac:dyDescent="0.2">
      <c r="A171" s="6" t="s">
        <v>341</v>
      </c>
      <c r="B171" s="6" t="s">
        <v>342</v>
      </c>
      <c r="C171" s="6" t="s">
        <v>342</v>
      </c>
      <c r="D171" s="6" t="s">
        <v>342</v>
      </c>
      <c r="E171" s="6"/>
      <c r="F171" s="6">
        <v>169</v>
      </c>
      <c r="G171" s="6"/>
      <c r="H171" s="6"/>
      <c r="I171" s="6"/>
      <c r="J171" s="6"/>
      <c r="K171" s="6"/>
      <c r="L171" s="7"/>
      <c r="M171" s="6"/>
      <c r="N171" s="6"/>
      <c r="O171" s="6">
        <f t="shared" si="7"/>
        <v>0</v>
      </c>
      <c r="P171" s="6"/>
      <c r="Q171" s="6"/>
      <c r="R171" s="6">
        <f t="shared" si="9"/>
        <v>0</v>
      </c>
      <c r="S171" s="6"/>
      <c r="T171" s="6"/>
      <c r="U171" s="6">
        <f t="shared" si="8"/>
        <v>0</v>
      </c>
    </row>
    <row r="172" spans="1:21" hidden="1" x14ac:dyDescent="0.2">
      <c r="A172" s="6" t="s">
        <v>341</v>
      </c>
      <c r="B172" s="6" t="s">
        <v>342</v>
      </c>
      <c r="C172" s="6" t="s">
        <v>342</v>
      </c>
      <c r="D172" s="6" t="s">
        <v>342</v>
      </c>
      <c r="E172" s="6"/>
      <c r="F172" s="6">
        <v>170</v>
      </c>
      <c r="G172" s="6"/>
      <c r="H172" s="6"/>
      <c r="I172" s="6"/>
      <c r="J172" s="6"/>
      <c r="K172" s="6"/>
      <c r="L172" s="7"/>
      <c r="M172" s="6"/>
      <c r="N172" s="6"/>
      <c r="O172" s="6">
        <f t="shared" si="7"/>
        <v>0</v>
      </c>
      <c r="P172" s="6"/>
      <c r="Q172" s="6"/>
      <c r="R172" s="6">
        <f t="shared" si="9"/>
        <v>0</v>
      </c>
      <c r="S172" s="6"/>
      <c r="T172" s="6"/>
      <c r="U172" s="6">
        <f t="shared" si="8"/>
        <v>0</v>
      </c>
    </row>
    <row r="173" spans="1:21" hidden="1" x14ac:dyDescent="0.2">
      <c r="A173" s="6" t="s">
        <v>341</v>
      </c>
      <c r="B173" s="6" t="s">
        <v>342</v>
      </c>
      <c r="C173" s="6" t="s">
        <v>342</v>
      </c>
      <c r="D173" s="6" t="s">
        <v>342</v>
      </c>
      <c r="E173" s="6"/>
      <c r="F173" s="6">
        <v>171</v>
      </c>
      <c r="G173" s="6"/>
      <c r="H173" s="6"/>
      <c r="I173" s="6"/>
      <c r="J173" s="6"/>
      <c r="K173" s="6"/>
      <c r="L173" s="7"/>
      <c r="M173" s="6"/>
      <c r="N173" s="6"/>
      <c r="O173" s="6">
        <f t="shared" si="7"/>
        <v>0</v>
      </c>
      <c r="P173" s="6"/>
      <c r="Q173" s="6"/>
      <c r="R173" s="6">
        <f t="shared" si="9"/>
        <v>0</v>
      </c>
      <c r="S173" s="6"/>
      <c r="T173" s="6"/>
      <c r="U173" s="6">
        <f t="shared" si="8"/>
        <v>0</v>
      </c>
    </row>
    <row r="174" spans="1:21" hidden="1" x14ac:dyDescent="0.2">
      <c r="A174" s="6" t="s">
        <v>341</v>
      </c>
      <c r="B174" s="6" t="s">
        <v>342</v>
      </c>
      <c r="C174" s="6" t="s">
        <v>342</v>
      </c>
      <c r="D174" s="6" t="s">
        <v>342</v>
      </c>
      <c r="E174" s="6"/>
      <c r="F174" s="6">
        <v>172</v>
      </c>
      <c r="G174" s="6"/>
      <c r="H174" s="6"/>
      <c r="I174" s="6"/>
      <c r="J174" s="6"/>
      <c r="K174" s="6"/>
      <c r="L174" s="7"/>
      <c r="M174" s="6"/>
      <c r="N174" s="6"/>
      <c r="O174" s="6">
        <f t="shared" si="7"/>
        <v>0</v>
      </c>
      <c r="P174" s="6"/>
      <c r="Q174" s="6"/>
      <c r="R174" s="6">
        <f t="shared" si="9"/>
        <v>0</v>
      </c>
      <c r="S174" s="6"/>
      <c r="T174" s="6"/>
      <c r="U174" s="6">
        <f t="shared" si="8"/>
        <v>0</v>
      </c>
    </row>
    <row r="175" spans="1:21" hidden="1" x14ac:dyDescent="0.2">
      <c r="A175" s="6" t="s">
        <v>341</v>
      </c>
      <c r="B175" s="6" t="s">
        <v>342</v>
      </c>
      <c r="C175" s="6" t="s">
        <v>342</v>
      </c>
      <c r="D175" s="6" t="s">
        <v>342</v>
      </c>
      <c r="E175" s="6"/>
      <c r="F175" s="6">
        <v>173</v>
      </c>
      <c r="G175" s="6"/>
      <c r="H175" s="6"/>
      <c r="I175" s="6"/>
      <c r="J175" s="6"/>
      <c r="K175" s="6"/>
      <c r="L175" s="7"/>
      <c r="M175" s="6"/>
      <c r="N175" s="6"/>
      <c r="O175" s="6">
        <f t="shared" si="7"/>
        <v>0</v>
      </c>
      <c r="P175" s="6"/>
      <c r="Q175" s="6"/>
      <c r="R175" s="6">
        <f t="shared" si="9"/>
        <v>0</v>
      </c>
      <c r="S175" s="6"/>
      <c r="T175" s="6"/>
      <c r="U175" s="6">
        <f t="shared" si="8"/>
        <v>0</v>
      </c>
    </row>
    <row r="176" spans="1:21" hidden="1" x14ac:dyDescent="0.2">
      <c r="A176" s="6" t="s">
        <v>341</v>
      </c>
      <c r="B176" s="6" t="s">
        <v>342</v>
      </c>
      <c r="C176" s="6" t="s">
        <v>342</v>
      </c>
      <c r="D176" s="6" t="s">
        <v>342</v>
      </c>
      <c r="E176" s="6"/>
      <c r="F176" s="6">
        <v>174</v>
      </c>
      <c r="G176" s="6"/>
      <c r="H176" s="6"/>
      <c r="I176" s="6"/>
      <c r="J176" s="6"/>
      <c r="K176" s="6"/>
      <c r="L176" s="7"/>
      <c r="M176" s="6"/>
      <c r="N176" s="6"/>
      <c r="O176" s="6">
        <f t="shared" si="7"/>
        <v>0</v>
      </c>
      <c r="P176" s="6"/>
      <c r="Q176" s="6"/>
      <c r="R176" s="6">
        <f t="shared" si="9"/>
        <v>0</v>
      </c>
      <c r="S176" s="6"/>
      <c r="T176" s="6"/>
      <c r="U176" s="6">
        <f t="shared" si="8"/>
        <v>0</v>
      </c>
    </row>
    <row r="177" spans="1:21" hidden="1" x14ac:dyDescent="0.2">
      <c r="A177" s="6" t="s">
        <v>341</v>
      </c>
      <c r="B177" s="6" t="s">
        <v>342</v>
      </c>
      <c r="C177" s="6" t="s">
        <v>342</v>
      </c>
      <c r="D177" s="6" t="s">
        <v>342</v>
      </c>
      <c r="E177" s="6"/>
      <c r="F177" s="6">
        <v>175</v>
      </c>
      <c r="G177" s="6"/>
      <c r="H177" s="6"/>
      <c r="I177" s="6"/>
      <c r="J177" s="6"/>
      <c r="K177" s="6"/>
      <c r="L177" s="7"/>
      <c r="M177" s="6"/>
      <c r="N177" s="6"/>
      <c r="O177" s="6">
        <f t="shared" si="7"/>
        <v>0</v>
      </c>
      <c r="P177" s="6"/>
      <c r="Q177" s="6"/>
      <c r="R177" s="6">
        <f t="shared" si="9"/>
        <v>0</v>
      </c>
      <c r="S177" s="6"/>
      <c r="T177" s="6"/>
      <c r="U177" s="6">
        <f t="shared" si="8"/>
        <v>0</v>
      </c>
    </row>
    <row r="178" spans="1:21" hidden="1" x14ac:dyDescent="0.2">
      <c r="A178" s="6" t="s">
        <v>341</v>
      </c>
      <c r="B178" s="6" t="s">
        <v>342</v>
      </c>
      <c r="C178" s="6" t="s">
        <v>342</v>
      </c>
      <c r="D178" s="6" t="s">
        <v>342</v>
      </c>
      <c r="E178" s="6"/>
      <c r="F178" s="6">
        <v>176</v>
      </c>
      <c r="G178" s="6"/>
      <c r="H178" s="6"/>
      <c r="I178" s="6"/>
      <c r="J178" s="6"/>
      <c r="K178" s="6"/>
      <c r="L178" s="7"/>
      <c r="M178" s="6"/>
      <c r="N178" s="6"/>
      <c r="O178" s="6">
        <f t="shared" si="7"/>
        <v>0</v>
      </c>
      <c r="P178" s="6"/>
      <c r="Q178" s="6"/>
      <c r="R178" s="6">
        <f t="shared" si="9"/>
        <v>0</v>
      </c>
      <c r="S178" s="6"/>
      <c r="T178" s="6"/>
      <c r="U178" s="6">
        <f t="shared" si="8"/>
        <v>0</v>
      </c>
    </row>
    <row r="179" spans="1:21" hidden="1" x14ac:dyDescent="0.2">
      <c r="A179" s="6" t="s">
        <v>341</v>
      </c>
      <c r="B179" s="6" t="s">
        <v>342</v>
      </c>
      <c r="C179" s="6" t="s">
        <v>342</v>
      </c>
      <c r="D179" s="6" t="s">
        <v>342</v>
      </c>
      <c r="E179" s="6"/>
      <c r="F179" s="6">
        <v>177</v>
      </c>
      <c r="G179" s="6"/>
      <c r="H179" s="6"/>
      <c r="I179" s="6"/>
      <c r="J179" s="6"/>
      <c r="K179" s="6"/>
      <c r="L179" s="7"/>
      <c r="M179" s="6"/>
      <c r="N179" s="6"/>
      <c r="O179" s="6">
        <f t="shared" si="7"/>
        <v>0</v>
      </c>
      <c r="P179" s="6"/>
      <c r="Q179" s="6"/>
      <c r="R179" s="6">
        <f t="shared" si="9"/>
        <v>0</v>
      </c>
      <c r="S179" s="6"/>
      <c r="T179" s="6"/>
      <c r="U179" s="6">
        <f t="shared" si="8"/>
        <v>0</v>
      </c>
    </row>
    <row r="180" spans="1:21" hidden="1" x14ac:dyDescent="0.2">
      <c r="A180" s="6" t="s">
        <v>341</v>
      </c>
      <c r="B180" s="6" t="s">
        <v>342</v>
      </c>
      <c r="C180" s="6" t="s">
        <v>342</v>
      </c>
      <c r="D180" s="6" t="s">
        <v>342</v>
      </c>
      <c r="E180" s="6"/>
      <c r="F180" s="6">
        <v>178</v>
      </c>
      <c r="G180" s="6"/>
      <c r="H180" s="6"/>
      <c r="I180" s="6"/>
      <c r="J180" s="6"/>
      <c r="K180" s="6"/>
      <c r="L180" s="7"/>
      <c r="M180" s="6"/>
      <c r="N180" s="6"/>
      <c r="O180" s="6">
        <f t="shared" si="7"/>
        <v>0</v>
      </c>
      <c r="P180" s="6"/>
      <c r="Q180" s="6"/>
      <c r="R180" s="6">
        <f t="shared" si="9"/>
        <v>0</v>
      </c>
      <c r="S180" s="6"/>
      <c r="T180" s="6"/>
      <c r="U180" s="6">
        <f t="shared" si="8"/>
        <v>0</v>
      </c>
    </row>
    <row r="181" spans="1:21" hidden="1" x14ac:dyDescent="0.2">
      <c r="A181" s="6" t="s">
        <v>341</v>
      </c>
      <c r="B181" s="6" t="s">
        <v>342</v>
      </c>
      <c r="C181" s="6" t="s">
        <v>342</v>
      </c>
      <c r="D181" s="6" t="s">
        <v>342</v>
      </c>
      <c r="E181" s="6"/>
      <c r="F181" s="6">
        <v>179</v>
      </c>
      <c r="G181" s="6"/>
      <c r="H181" s="6"/>
      <c r="I181" s="6"/>
      <c r="J181" s="6"/>
      <c r="K181" s="6"/>
      <c r="L181" s="7"/>
      <c r="M181" s="6"/>
      <c r="N181" s="6"/>
      <c r="O181" s="6">
        <f t="shared" si="7"/>
        <v>0</v>
      </c>
      <c r="P181" s="6"/>
      <c r="Q181" s="6"/>
      <c r="R181" s="6">
        <f t="shared" si="9"/>
        <v>0</v>
      </c>
      <c r="S181" s="6"/>
      <c r="T181" s="6"/>
      <c r="U181" s="6">
        <f t="shared" si="8"/>
        <v>0</v>
      </c>
    </row>
    <row r="182" spans="1:21" hidden="1" x14ac:dyDescent="0.2">
      <c r="A182" s="6" t="s">
        <v>341</v>
      </c>
      <c r="B182" s="6" t="s">
        <v>342</v>
      </c>
      <c r="C182" s="6" t="s">
        <v>342</v>
      </c>
      <c r="D182" s="6" t="s">
        <v>342</v>
      </c>
      <c r="E182" s="6"/>
      <c r="F182" s="6">
        <v>180</v>
      </c>
      <c r="G182" s="6"/>
      <c r="H182" s="6"/>
      <c r="I182" s="6"/>
      <c r="J182" s="6"/>
      <c r="K182" s="6"/>
      <c r="L182" s="7"/>
      <c r="M182" s="6"/>
      <c r="N182" s="6"/>
      <c r="O182" s="6">
        <f t="shared" si="7"/>
        <v>0</v>
      </c>
      <c r="P182" s="6"/>
      <c r="Q182" s="6"/>
      <c r="R182" s="6">
        <f t="shared" si="9"/>
        <v>0</v>
      </c>
      <c r="S182" s="6"/>
      <c r="T182" s="6"/>
      <c r="U182" s="6">
        <f t="shared" si="8"/>
        <v>0</v>
      </c>
    </row>
    <row r="183" spans="1:21" hidden="1" x14ac:dyDescent="0.2">
      <c r="A183" s="6" t="s">
        <v>341</v>
      </c>
      <c r="B183" s="6" t="s">
        <v>342</v>
      </c>
      <c r="C183" s="6" t="s">
        <v>342</v>
      </c>
      <c r="D183" s="6" t="s">
        <v>342</v>
      </c>
      <c r="E183" s="6"/>
      <c r="F183" s="6">
        <v>181</v>
      </c>
      <c r="G183" s="6"/>
      <c r="H183" s="6"/>
      <c r="I183" s="6"/>
      <c r="J183" s="6"/>
      <c r="K183" s="6"/>
      <c r="L183" s="7"/>
      <c r="M183" s="6"/>
      <c r="N183" s="6"/>
      <c r="O183" s="6">
        <f t="shared" si="7"/>
        <v>0</v>
      </c>
      <c r="P183" s="6"/>
      <c r="Q183" s="6"/>
      <c r="R183" s="6">
        <f t="shared" si="9"/>
        <v>0</v>
      </c>
      <c r="S183" s="6"/>
      <c r="T183" s="6"/>
      <c r="U183" s="6">
        <f t="shared" si="8"/>
        <v>0</v>
      </c>
    </row>
    <row r="184" spans="1:21" hidden="1" x14ac:dyDescent="0.2">
      <c r="A184" s="6" t="s">
        <v>341</v>
      </c>
      <c r="B184" s="6" t="s">
        <v>342</v>
      </c>
      <c r="C184" s="6" t="s">
        <v>342</v>
      </c>
      <c r="D184" s="6" t="s">
        <v>342</v>
      </c>
      <c r="E184" s="6"/>
      <c r="F184" s="6">
        <v>182</v>
      </c>
      <c r="G184" s="6"/>
      <c r="H184" s="6"/>
      <c r="I184" s="6"/>
      <c r="J184" s="6"/>
      <c r="K184" s="6"/>
      <c r="L184" s="7"/>
      <c r="M184" s="6"/>
      <c r="N184" s="6"/>
      <c r="O184" s="6">
        <f t="shared" si="7"/>
        <v>0</v>
      </c>
      <c r="P184" s="6"/>
      <c r="Q184" s="6"/>
      <c r="R184" s="6">
        <f t="shared" si="9"/>
        <v>0</v>
      </c>
      <c r="S184" s="6"/>
      <c r="T184" s="6"/>
      <c r="U184" s="6">
        <f t="shared" si="8"/>
        <v>0</v>
      </c>
    </row>
    <row r="185" spans="1:21" hidden="1" x14ac:dyDescent="0.2">
      <c r="A185" s="6" t="s">
        <v>341</v>
      </c>
      <c r="B185" s="6" t="s">
        <v>342</v>
      </c>
      <c r="C185" s="6" t="s">
        <v>342</v>
      </c>
      <c r="D185" s="6" t="s">
        <v>342</v>
      </c>
      <c r="E185" s="6"/>
      <c r="F185" s="6">
        <v>183</v>
      </c>
      <c r="G185" s="6"/>
      <c r="H185" s="6"/>
      <c r="I185" s="6"/>
      <c r="J185" s="6"/>
      <c r="K185" s="6"/>
      <c r="L185" s="7"/>
      <c r="M185" s="6"/>
      <c r="N185" s="6"/>
      <c r="O185" s="6">
        <f t="shared" si="7"/>
        <v>0</v>
      </c>
      <c r="P185" s="6"/>
      <c r="Q185" s="6"/>
      <c r="R185" s="6">
        <f t="shared" si="9"/>
        <v>0</v>
      </c>
      <c r="S185" s="6"/>
      <c r="T185" s="6"/>
      <c r="U185" s="6">
        <f t="shared" si="8"/>
        <v>0</v>
      </c>
    </row>
    <row r="186" spans="1:21" hidden="1" x14ac:dyDescent="0.2">
      <c r="A186" s="6" t="s">
        <v>341</v>
      </c>
      <c r="B186" s="6" t="s">
        <v>342</v>
      </c>
      <c r="C186" s="6" t="s">
        <v>342</v>
      </c>
      <c r="D186" s="6" t="s">
        <v>342</v>
      </c>
      <c r="E186" s="6"/>
      <c r="F186" s="6">
        <v>184</v>
      </c>
      <c r="G186" s="6"/>
      <c r="H186" s="6"/>
      <c r="I186" s="6"/>
      <c r="J186" s="6"/>
      <c r="K186" s="6"/>
      <c r="L186" s="7"/>
      <c r="M186" s="6"/>
      <c r="N186" s="6"/>
      <c r="O186" s="6">
        <f t="shared" si="7"/>
        <v>0</v>
      </c>
      <c r="P186" s="6"/>
      <c r="Q186" s="6"/>
      <c r="R186" s="6">
        <f t="shared" si="9"/>
        <v>0</v>
      </c>
      <c r="S186" s="6"/>
      <c r="T186" s="6"/>
      <c r="U186" s="6">
        <f t="shared" si="8"/>
        <v>0</v>
      </c>
    </row>
    <row r="187" spans="1:21" hidden="1" x14ac:dyDescent="0.2">
      <c r="A187" s="6" t="s">
        <v>341</v>
      </c>
      <c r="B187" s="6" t="s">
        <v>342</v>
      </c>
      <c r="C187" s="6" t="s">
        <v>342</v>
      </c>
      <c r="D187" s="6" t="s">
        <v>342</v>
      </c>
      <c r="E187" s="6"/>
      <c r="F187" s="6">
        <v>185</v>
      </c>
      <c r="G187" s="6"/>
      <c r="H187" s="6"/>
      <c r="I187" s="6"/>
      <c r="J187" s="6"/>
      <c r="K187" s="6"/>
      <c r="L187" s="7"/>
      <c r="M187" s="6"/>
      <c r="N187" s="6"/>
      <c r="O187" s="6">
        <f t="shared" si="7"/>
        <v>0</v>
      </c>
      <c r="P187" s="6"/>
      <c r="Q187" s="6"/>
      <c r="R187" s="6">
        <f t="shared" si="9"/>
        <v>0</v>
      </c>
      <c r="S187" s="6"/>
      <c r="T187" s="6"/>
      <c r="U187" s="6">
        <f t="shared" si="8"/>
        <v>0</v>
      </c>
    </row>
    <row r="188" spans="1:21" hidden="1" x14ac:dyDescent="0.2">
      <c r="A188" s="6" t="s">
        <v>341</v>
      </c>
      <c r="B188" s="6" t="s">
        <v>342</v>
      </c>
      <c r="C188" s="6" t="s">
        <v>342</v>
      </c>
      <c r="D188" s="6" t="s">
        <v>342</v>
      </c>
      <c r="E188" s="6"/>
      <c r="F188" s="6">
        <v>186</v>
      </c>
      <c r="G188" s="6"/>
      <c r="H188" s="6"/>
      <c r="I188" s="6"/>
      <c r="J188" s="6"/>
      <c r="K188" s="6"/>
      <c r="L188" s="7"/>
      <c r="M188" s="6"/>
      <c r="N188" s="6"/>
      <c r="O188" s="6">
        <f t="shared" si="7"/>
        <v>0</v>
      </c>
      <c r="P188" s="6"/>
      <c r="Q188" s="6"/>
      <c r="R188" s="6">
        <f t="shared" si="9"/>
        <v>0</v>
      </c>
      <c r="S188" s="6"/>
      <c r="T188" s="6"/>
      <c r="U188" s="6">
        <f t="shared" si="8"/>
        <v>0</v>
      </c>
    </row>
    <row r="189" spans="1:21" hidden="1" x14ac:dyDescent="0.2">
      <c r="A189" s="6" t="s">
        <v>341</v>
      </c>
      <c r="B189" s="6" t="s">
        <v>342</v>
      </c>
      <c r="C189" s="6" t="s">
        <v>342</v>
      </c>
      <c r="D189" s="6" t="s">
        <v>342</v>
      </c>
      <c r="E189" s="6"/>
      <c r="F189" s="6">
        <v>187</v>
      </c>
      <c r="G189" s="6"/>
      <c r="H189" s="6"/>
      <c r="I189" s="6"/>
      <c r="J189" s="6"/>
      <c r="K189" s="6"/>
      <c r="L189" s="7"/>
      <c r="M189" s="6"/>
      <c r="N189" s="6"/>
      <c r="O189" s="6">
        <f t="shared" si="7"/>
        <v>0</v>
      </c>
      <c r="P189" s="6"/>
      <c r="Q189" s="6"/>
      <c r="R189" s="6">
        <f t="shared" si="9"/>
        <v>0</v>
      </c>
      <c r="S189" s="6"/>
      <c r="T189" s="6"/>
      <c r="U189" s="6">
        <f t="shared" si="8"/>
        <v>0</v>
      </c>
    </row>
    <row r="190" spans="1:21" hidden="1" x14ac:dyDescent="0.2">
      <c r="A190" s="6" t="s">
        <v>341</v>
      </c>
      <c r="B190" s="6" t="s">
        <v>342</v>
      </c>
      <c r="C190" s="6" t="s">
        <v>342</v>
      </c>
      <c r="D190" s="6" t="s">
        <v>342</v>
      </c>
      <c r="E190" s="6"/>
      <c r="F190" s="6">
        <v>188</v>
      </c>
      <c r="G190" s="6"/>
      <c r="H190" s="6"/>
      <c r="I190" s="6"/>
      <c r="J190" s="6"/>
      <c r="K190" s="6"/>
      <c r="L190" s="7"/>
      <c r="M190" s="6"/>
      <c r="N190" s="6"/>
      <c r="O190" s="6">
        <f t="shared" si="7"/>
        <v>0</v>
      </c>
      <c r="P190" s="6"/>
      <c r="Q190" s="6"/>
      <c r="R190" s="6">
        <f t="shared" si="9"/>
        <v>0</v>
      </c>
      <c r="S190" s="6"/>
      <c r="T190" s="6"/>
      <c r="U190" s="6">
        <f t="shared" si="8"/>
        <v>0</v>
      </c>
    </row>
    <row r="191" spans="1:21" hidden="1" x14ac:dyDescent="0.2">
      <c r="A191" s="6" t="s">
        <v>341</v>
      </c>
      <c r="B191" s="6" t="s">
        <v>342</v>
      </c>
      <c r="C191" s="6" t="s">
        <v>342</v>
      </c>
      <c r="D191" s="6" t="s">
        <v>342</v>
      </c>
      <c r="E191" s="6"/>
      <c r="F191" s="6">
        <v>189</v>
      </c>
      <c r="G191" s="6"/>
      <c r="H191" s="6"/>
      <c r="I191" s="6"/>
      <c r="J191" s="6"/>
      <c r="K191" s="6"/>
      <c r="L191" s="7"/>
      <c r="M191" s="6"/>
      <c r="N191" s="6"/>
      <c r="O191" s="6">
        <f t="shared" si="7"/>
        <v>0</v>
      </c>
      <c r="P191" s="6"/>
      <c r="Q191" s="6"/>
      <c r="R191" s="6">
        <f t="shared" si="9"/>
        <v>0</v>
      </c>
      <c r="S191" s="6"/>
      <c r="T191" s="6"/>
      <c r="U191" s="6">
        <f t="shared" si="8"/>
        <v>0</v>
      </c>
    </row>
    <row r="192" spans="1:21" hidden="1" x14ac:dyDescent="0.2">
      <c r="A192" s="6" t="s">
        <v>341</v>
      </c>
      <c r="B192" s="6" t="s">
        <v>342</v>
      </c>
      <c r="C192" s="6" t="s">
        <v>342</v>
      </c>
      <c r="D192" s="6" t="s">
        <v>342</v>
      </c>
      <c r="E192" s="6"/>
      <c r="F192" s="6">
        <v>190</v>
      </c>
      <c r="G192" s="6"/>
      <c r="H192" s="6"/>
      <c r="I192" s="6"/>
      <c r="J192" s="6"/>
      <c r="K192" s="6"/>
      <c r="L192" s="7"/>
      <c r="M192" s="6"/>
      <c r="N192" s="6"/>
      <c r="O192" s="6">
        <f t="shared" si="7"/>
        <v>0</v>
      </c>
      <c r="P192" s="6"/>
      <c r="Q192" s="6"/>
      <c r="R192" s="6">
        <f t="shared" si="9"/>
        <v>0</v>
      </c>
      <c r="S192" s="6"/>
      <c r="T192" s="6"/>
      <c r="U192" s="6">
        <f t="shared" si="8"/>
        <v>0</v>
      </c>
    </row>
    <row r="193" spans="1:21" hidden="1" x14ac:dyDescent="0.2">
      <c r="A193" s="6" t="s">
        <v>341</v>
      </c>
      <c r="B193" s="6" t="s">
        <v>342</v>
      </c>
      <c r="C193" s="6" t="s">
        <v>342</v>
      </c>
      <c r="D193" s="6" t="s">
        <v>342</v>
      </c>
      <c r="E193" s="6"/>
      <c r="F193" s="6">
        <v>191</v>
      </c>
      <c r="G193" s="6"/>
      <c r="H193" s="6"/>
      <c r="I193" s="6"/>
      <c r="J193" s="6"/>
      <c r="K193" s="6"/>
      <c r="L193" s="7"/>
      <c r="M193" s="6"/>
      <c r="N193" s="6"/>
      <c r="O193" s="6">
        <f t="shared" si="7"/>
        <v>0</v>
      </c>
      <c r="P193" s="6"/>
      <c r="Q193" s="6"/>
      <c r="R193" s="6">
        <f t="shared" si="9"/>
        <v>0</v>
      </c>
      <c r="S193" s="6"/>
      <c r="T193" s="6"/>
      <c r="U193" s="6">
        <f t="shared" si="8"/>
        <v>0</v>
      </c>
    </row>
    <row r="194" spans="1:21" hidden="1" x14ac:dyDescent="0.2">
      <c r="A194" s="6" t="s">
        <v>341</v>
      </c>
      <c r="B194" s="6" t="s">
        <v>342</v>
      </c>
      <c r="C194" s="6" t="s">
        <v>342</v>
      </c>
      <c r="D194" s="6" t="s">
        <v>342</v>
      </c>
      <c r="E194" s="6"/>
      <c r="F194" s="6">
        <v>192</v>
      </c>
      <c r="G194" s="6"/>
      <c r="H194" s="6"/>
      <c r="I194" s="6"/>
      <c r="J194" s="6"/>
      <c r="K194" s="6"/>
      <c r="L194" s="7"/>
      <c r="M194" s="6"/>
      <c r="N194" s="6"/>
      <c r="O194" s="6">
        <f t="shared" si="7"/>
        <v>0</v>
      </c>
      <c r="P194" s="6"/>
      <c r="Q194" s="6"/>
      <c r="R194" s="6">
        <f t="shared" si="9"/>
        <v>0</v>
      </c>
      <c r="S194" s="6"/>
      <c r="T194" s="6"/>
      <c r="U194" s="6">
        <f t="shared" si="8"/>
        <v>0</v>
      </c>
    </row>
    <row r="195" spans="1:21" hidden="1" x14ac:dyDescent="0.2">
      <c r="A195" s="6" t="s">
        <v>341</v>
      </c>
      <c r="B195" s="6" t="s">
        <v>342</v>
      </c>
      <c r="C195" s="6" t="s">
        <v>342</v>
      </c>
      <c r="D195" s="6" t="s">
        <v>342</v>
      </c>
      <c r="E195" s="6"/>
      <c r="F195" s="6">
        <v>193</v>
      </c>
      <c r="G195" s="6"/>
      <c r="H195" s="6"/>
      <c r="I195" s="6"/>
      <c r="J195" s="6"/>
      <c r="K195" s="6"/>
      <c r="L195" s="7"/>
      <c r="M195" s="6"/>
      <c r="N195" s="6"/>
      <c r="O195" s="6">
        <f t="shared" ref="O195:O258" si="10">IFERROR(N195-M195,"")</f>
        <v>0</v>
      </c>
      <c r="P195" s="6"/>
      <c r="Q195" s="6"/>
      <c r="R195" s="6">
        <f t="shared" si="9"/>
        <v>0</v>
      </c>
      <c r="S195" s="6"/>
      <c r="T195" s="6"/>
      <c r="U195" s="6">
        <f t="shared" ref="U195:U258" si="11">IFERROR(T195-S195,"")</f>
        <v>0</v>
      </c>
    </row>
    <row r="196" spans="1:21" hidden="1" x14ac:dyDescent="0.2">
      <c r="A196" s="6" t="s">
        <v>341</v>
      </c>
      <c r="B196" s="6" t="s">
        <v>342</v>
      </c>
      <c r="C196" s="6" t="s">
        <v>342</v>
      </c>
      <c r="D196" s="6" t="s">
        <v>342</v>
      </c>
      <c r="E196" s="6"/>
      <c r="F196" s="6">
        <v>194</v>
      </c>
      <c r="G196" s="6"/>
      <c r="H196" s="6"/>
      <c r="I196" s="6"/>
      <c r="J196" s="6"/>
      <c r="K196" s="6"/>
      <c r="L196" s="7"/>
      <c r="M196" s="6"/>
      <c r="N196" s="6"/>
      <c r="O196" s="6">
        <f t="shared" si="10"/>
        <v>0</v>
      </c>
      <c r="P196" s="6"/>
      <c r="Q196" s="6"/>
      <c r="R196" s="6">
        <f t="shared" si="9"/>
        <v>0</v>
      </c>
      <c r="S196" s="6"/>
      <c r="T196" s="6"/>
      <c r="U196" s="6">
        <f t="shared" si="11"/>
        <v>0</v>
      </c>
    </row>
    <row r="197" spans="1:21" hidden="1" x14ac:dyDescent="0.2">
      <c r="A197" s="6" t="s">
        <v>341</v>
      </c>
      <c r="B197" s="6" t="s">
        <v>342</v>
      </c>
      <c r="C197" s="6" t="s">
        <v>342</v>
      </c>
      <c r="D197" s="6" t="s">
        <v>342</v>
      </c>
      <c r="E197" s="6"/>
      <c r="F197" s="6">
        <v>195</v>
      </c>
      <c r="G197" s="6"/>
      <c r="H197" s="6"/>
      <c r="I197" s="6"/>
      <c r="J197" s="6"/>
      <c r="K197" s="6"/>
      <c r="L197" s="7"/>
      <c r="M197" s="6"/>
      <c r="N197" s="6"/>
      <c r="O197" s="6">
        <f t="shared" si="10"/>
        <v>0</v>
      </c>
      <c r="P197" s="6"/>
      <c r="Q197" s="6"/>
      <c r="R197" s="6">
        <f t="shared" si="9"/>
        <v>0</v>
      </c>
      <c r="S197" s="6"/>
      <c r="T197" s="6"/>
      <c r="U197" s="6">
        <f t="shared" si="11"/>
        <v>0</v>
      </c>
    </row>
    <row r="198" spans="1:21" hidden="1" x14ac:dyDescent="0.2">
      <c r="A198" s="6" t="s">
        <v>341</v>
      </c>
      <c r="B198" s="6" t="s">
        <v>342</v>
      </c>
      <c r="C198" s="6" t="s">
        <v>342</v>
      </c>
      <c r="D198" s="6" t="s">
        <v>342</v>
      </c>
      <c r="E198" s="6"/>
      <c r="F198" s="6">
        <v>196</v>
      </c>
      <c r="G198" s="6"/>
      <c r="H198" s="6"/>
      <c r="I198" s="6"/>
      <c r="J198" s="6"/>
      <c r="K198" s="6"/>
      <c r="L198" s="7"/>
      <c r="M198" s="6"/>
      <c r="N198" s="6"/>
      <c r="O198" s="6">
        <f t="shared" si="10"/>
        <v>0</v>
      </c>
      <c r="P198" s="6"/>
      <c r="Q198" s="6"/>
      <c r="R198" s="6">
        <f t="shared" si="9"/>
        <v>0</v>
      </c>
      <c r="S198" s="6"/>
      <c r="T198" s="6"/>
      <c r="U198" s="6">
        <f t="shared" si="11"/>
        <v>0</v>
      </c>
    </row>
    <row r="199" spans="1:21" hidden="1" x14ac:dyDescent="0.2">
      <c r="A199" s="6" t="s">
        <v>341</v>
      </c>
      <c r="B199" s="6" t="s">
        <v>342</v>
      </c>
      <c r="C199" s="6" t="s">
        <v>342</v>
      </c>
      <c r="D199" s="6" t="s">
        <v>342</v>
      </c>
      <c r="E199" s="6"/>
      <c r="F199" s="6">
        <v>197</v>
      </c>
      <c r="G199" s="6"/>
      <c r="H199" s="6"/>
      <c r="I199" s="6"/>
      <c r="J199" s="6"/>
      <c r="K199" s="6"/>
      <c r="L199" s="7"/>
      <c r="M199" s="6"/>
      <c r="N199" s="6"/>
      <c r="O199" s="6">
        <f t="shared" si="10"/>
        <v>0</v>
      </c>
      <c r="P199" s="6"/>
      <c r="Q199" s="6"/>
      <c r="R199" s="6">
        <f t="shared" si="9"/>
        <v>0</v>
      </c>
      <c r="S199" s="6"/>
      <c r="T199" s="6"/>
      <c r="U199" s="6">
        <f t="shared" si="11"/>
        <v>0</v>
      </c>
    </row>
    <row r="200" spans="1:21" hidden="1" x14ac:dyDescent="0.2">
      <c r="A200" s="6" t="s">
        <v>341</v>
      </c>
      <c r="B200" s="6" t="s">
        <v>342</v>
      </c>
      <c r="C200" s="6" t="s">
        <v>342</v>
      </c>
      <c r="D200" s="6" t="s">
        <v>342</v>
      </c>
      <c r="E200" s="6"/>
      <c r="F200" s="6">
        <v>198</v>
      </c>
      <c r="G200" s="6"/>
      <c r="H200" s="6"/>
      <c r="I200" s="6"/>
      <c r="J200" s="6"/>
      <c r="K200" s="6"/>
      <c r="L200" s="7"/>
      <c r="M200" s="6"/>
      <c r="N200" s="6"/>
      <c r="O200" s="6">
        <f t="shared" si="10"/>
        <v>0</v>
      </c>
      <c r="P200" s="6"/>
      <c r="Q200" s="6"/>
      <c r="R200" s="6">
        <f t="shared" si="9"/>
        <v>0</v>
      </c>
      <c r="S200" s="6"/>
      <c r="T200" s="6"/>
      <c r="U200" s="6">
        <f t="shared" si="11"/>
        <v>0</v>
      </c>
    </row>
    <row r="201" spans="1:21" hidden="1" x14ac:dyDescent="0.2">
      <c r="A201" s="6" t="s">
        <v>341</v>
      </c>
      <c r="B201" s="6" t="s">
        <v>342</v>
      </c>
      <c r="C201" s="6" t="s">
        <v>342</v>
      </c>
      <c r="D201" s="6" t="s">
        <v>342</v>
      </c>
      <c r="E201" s="6"/>
      <c r="F201" s="6">
        <v>199</v>
      </c>
      <c r="G201" s="6"/>
      <c r="H201" s="6"/>
      <c r="I201" s="6"/>
      <c r="J201" s="6"/>
      <c r="K201" s="6"/>
      <c r="L201" s="7"/>
      <c r="M201" s="6"/>
      <c r="N201" s="6"/>
      <c r="O201" s="6">
        <f t="shared" si="10"/>
        <v>0</v>
      </c>
      <c r="P201" s="6"/>
      <c r="Q201" s="6"/>
      <c r="R201" s="6">
        <f t="shared" si="9"/>
        <v>0</v>
      </c>
      <c r="S201" s="6"/>
      <c r="T201" s="6"/>
      <c r="U201" s="6">
        <f t="shared" si="11"/>
        <v>0</v>
      </c>
    </row>
    <row r="202" spans="1:21" hidden="1" x14ac:dyDescent="0.2">
      <c r="A202" s="6" t="s">
        <v>341</v>
      </c>
      <c r="B202" s="6" t="s">
        <v>342</v>
      </c>
      <c r="C202" s="6" t="s">
        <v>342</v>
      </c>
      <c r="D202" s="6" t="s">
        <v>342</v>
      </c>
      <c r="E202" s="6"/>
      <c r="F202" s="6">
        <v>200</v>
      </c>
      <c r="G202" s="6"/>
      <c r="H202" s="6"/>
      <c r="I202" s="6"/>
      <c r="J202" s="6"/>
      <c r="K202" s="6"/>
      <c r="L202" s="7"/>
      <c r="M202" s="6"/>
      <c r="N202" s="6"/>
      <c r="O202" s="6">
        <f t="shared" si="10"/>
        <v>0</v>
      </c>
      <c r="P202" s="6"/>
      <c r="Q202" s="6"/>
      <c r="R202" s="6">
        <f t="shared" si="9"/>
        <v>0</v>
      </c>
      <c r="S202" s="6"/>
      <c r="T202" s="6"/>
      <c r="U202" s="6">
        <f t="shared" si="11"/>
        <v>0</v>
      </c>
    </row>
    <row r="203" spans="1:21" hidden="1" x14ac:dyDescent="0.2">
      <c r="A203" s="6" t="s">
        <v>341</v>
      </c>
      <c r="B203" s="6" t="s">
        <v>342</v>
      </c>
      <c r="C203" s="6" t="s">
        <v>342</v>
      </c>
      <c r="D203" s="6" t="s">
        <v>342</v>
      </c>
      <c r="E203" s="6"/>
      <c r="F203" s="6">
        <v>201</v>
      </c>
      <c r="G203" s="6"/>
      <c r="H203" s="6"/>
      <c r="I203" s="6"/>
      <c r="J203" s="6"/>
      <c r="K203" s="6"/>
      <c r="L203" s="7"/>
      <c r="M203" s="6"/>
      <c r="N203" s="6"/>
      <c r="O203" s="6">
        <f t="shared" si="10"/>
        <v>0</v>
      </c>
      <c r="P203" s="6"/>
      <c r="Q203" s="6"/>
      <c r="R203" s="6">
        <f t="shared" si="9"/>
        <v>0</v>
      </c>
      <c r="S203" s="6"/>
      <c r="T203" s="6"/>
      <c r="U203" s="6">
        <f t="shared" si="11"/>
        <v>0</v>
      </c>
    </row>
    <row r="204" spans="1:21" hidden="1" x14ac:dyDescent="0.2">
      <c r="A204" s="6" t="s">
        <v>341</v>
      </c>
      <c r="B204" s="6" t="s">
        <v>342</v>
      </c>
      <c r="C204" s="6" t="s">
        <v>342</v>
      </c>
      <c r="D204" s="6" t="s">
        <v>342</v>
      </c>
      <c r="E204" s="6"/>
      <c r="F204" s="6">
        <v>202</v>
      </c>
      <c r="G204" s="6"/>
      <c r="H204" s="6"/>
      <c r="I204" s="6"/>
      <c r="J204" s="6"/>
      <c r="K204" s="6"/>
      <c r="L204" s="7"/>
      <c r="M204" s="6"/>
      <c r="N204" s="6"/>
      <c r="O204" s="6">
        <f t="shared" si="10"/>
        <v>0</v>
      </c>
      <c r="P204" s="6"/>
      <c r="Q204" s="6"/>
      <c r="R204" s="6">
        <f t="shared" si="9"/>
        <v>0</v>
      </c>
      <c r="S204" s="6"/>
      <c r="T204" s="6"/>
      <c r="U204" s="6">
        <f t="shared" si="11"/>
        <v>0</v>
      </c>
    </row>
    <row r="205" spans="1:21" hidden="1" x14ac:dyDescent="0.2">
      <c r="A205" s="6" t="s">
        <v>341</v>
      </c>
      <c r="B205" s="6" t="s">
        <v>342</v>
      </c>
      <c r="C205" s="6" t="s">
        <v>342</v>
      </c>
      <c r="D205" s="6" t="s">
        <v>342</v>
      </c>
      <c r="E205" s="6"/>
      <c r="F205" s="6">
        <v>203</v>
      </c>
      <c r="G205" s="6"/>
      <c r="H205" s="6"/>
      <c r="I205" s="6"/>
      <c r="J205" s="6"/>
      <c r="K205" s="6"/>
      <c r="L205" s="7"/>
      <c r="M205" s="6"/>
      <c r="N205" s="6"/>
      <c r="O205" s="6">
        <f t="shared" si="10"/>
        <v>0</v>
      </c>
      <c r="P205" s="6"/>
      <c r="Q205" s="6"/>
      <c r="R205" s="6">
        <f t="shared" si="9"/>
        <v>0</v>
      </c>
      <c r="S205" s="6"/>
      <c r="T205" s="6"/>
      <c r="U205" s="6">
        <f t="shared" si="11"/>
        <v>0</v>
      </c>
    </row>
    <row r="206" spans="1:21" hidden="1" x14ac:dyDescent="0.2">
      <c r="A206" s="6" t="s">
        <v>341</v>
      </c>
      <c r="B206" s="6" t="s">
        <v>342</v>
      </c>
      <c r="C206" s="6" t="s">
        <v>342</v>
      </c>
      <c r="D206" s="6" t="s">
        <v>342</v>
      </c>
      <c r="E206" s="6"/>
      <c r="F206" s="6">
        <v>204</v>
      </c>
      <c r="G206" s="6"/>
      <c r="H206" s="6"/>
      <c r="I206" s="6"/>
      <c r="J206" s="6"/>
      <c r="K206" s="6"/>
      <c r="L206" s="7"/>
      <c r="M206" s="6"/>
      <c r="N206" s="6"/>
      <c r="O206" s="6">
        <f t="shared" si="10"/>
        <v>0</v>
      </c>
      <c r="P206" s="6"/>
      <c r="Q206" s="6"/>
      <c r="R206" s="6">
        <f t="shared" si="9"/>
        <v>0</v>
      </c>
      <c r="S206" s="6"/>
      <c r="T206" s="6"/>
      <c r="U206" s="6">
        <f t="shared" si="11"/>
        <v>0</v>
      </c>
    </row>
    <row r="207" spans="1:21" hidden="1" x14ac:dyDescent="0.2">
      <c r="A207" s="6" t="s">
        <v>341</v>
      </c>
      <c r="B207" s="6" t="s">
        <v>342</v>
      </c>
      <c r="C207" s="6" t="s">
        <v>342</v>
      </c>
      <c r="D207" s="6" t="s">
        <v>342</v>
      </c>
      <c r="E207" s="6"/>
      <c r="F207" s="6">
        <v>205</v>
      </c>
      <c r="G207" s="6"/>
      <c r="H207" s="6"/>
      <c r="I207" s="6"/>
      <c r="J207" s="6"/>
      <c r="K207" s="6"/>
      <c r="L207" s="7"/>
      <c r="M207" s="6"/>
      <c r="N207" s="6"/>
      <c r="O207" s="6">
        <f t="shared" si="10"/>
        <v>0</v>
      </c>
      <c r="P207" s="6"/>
      <c r="Q207" s="6"/>
      <c r="R207" s="6">
        <f t="shared" si="9"/>
        <v>0</v>
      </c>
      <c r="S207" s="6"/>
      <c r="T207" s="6"/>
      <c r="U207" s="6">
        <f t="shared" si="11"/>
        <v>0</v>
      </c>
    </row>
    <row r="208" spans="1:21" hidden="1" x14ac:dyDescent="0.2">
      <c r="A208" s="6" t="s">
        <v>341</v>
      </c>
      <c r="B208" s="6" t="s">
        <v>342</v>
      </c>
      <c r="C208" s="6" t="s">
        <v>342</v>
      </c>
      <c r="D208" s="6" t="s">
        <v>342</v>
      </c>
      <c r="E208" s="6"/>
      <c r="F208" s="6">
        <v>206</v>
      </c>
      <c r="G208" s="6"/>
      <c r="H208" s="6"/>
      <c r="I208" s="6"/>
      <c r="J208" s="6"/>
      <c r="K208" s="6"/>
      <c r="L208" s="7"/>
      <c r="M208" s="6"/>
      <c r="N208" s="6"/>
      <c r="O208" s="6">
        <f t="shared" si="10"/>
        <v>0</v>
      </c>
      <c r="P208" s="6"/>
      <c r="Q208" s="6"/>
      <c r="R208" s="6">
        <f t="shared" si="9"/>
        <v>0</v>
      </c>
      <c r="S208" s="6"/>
      <c r="T208" s="6"/>
      <c r="U208" s="6">
        <f t="shared" si="11"/>
        <v>0</v>
      </c>
    </row>
    <row r="209" spans="1:21" hidden="1" x14ac:dyDescent="0.2">
      <c r="A209" s="6" t="s">
        <v>341</v>
      </c>
      <c r="B209" s="6" t="s">
        <v>342</v>
      </c>
      <c r="C209" s="6" t="s">
        <v>342</v>
      </c>
      <c r="D209" s="6" t="s">
        <v>342</v>
      </c>
      <c r="E209" s="6"/>
      <c r="F209" s="6">
        <v>207</v>
      </c>
      <c r="G209" s="6"/>
      <c r="H209" s="6"/>
      <c r="I209" s="6"/>
      <c r="J209" s="6"/>
      <c r="K209" s="6"/>
      <c r="L209" s="7"/>
      <c r="M209" s="6"/>
      <c r="N209" s="6"/>
      <c r="O209" s="6">
        <f t="shared" si="10"/>
        <v>0</v>
      </c>
      <c r="P209" s="6"/>
      <c r="Q209" s="6"/>
      <c r="R209" s="6">
        <f t="shared" si="9"/>
        <v>0</v>
      </c>
      <c r="S209" s="6"/>
      <c r="T209" s="6"/>
      <c r="U209" s="6">
        <f t="shared" si="11"/>
        <v>0</v>
      </c>
    </row>
    <row r="210" spans="1:21" hidden="1" x14ac:dyDescent="0.2">
      <c r="A210" s="6" t="s">
        <v>341</v>
      </c>
      <c r="B210" s="6" t="s">
        <v>342</v>
      </c>
      <c r="C210" s="6" t="s">
        <v>342</v>
      </c>
      <c r="D210" s="6" t="s">
        <v>342</v>
      </c>
      <c r="E210" s="6"/>
      <c r="F210" s="6">
        <v>208</v>
      </c>
      <c r="G210" s="6"/>
      <c r="H210" s="6"/>
      <c r="I210" s="6"/>
      <c r="J210" s="6"/>
      <c r="K210" s="6"/>
      <c r="L210" s="7"/>
      <c r="M210" s="6"/>
      <c r="N210" s="6"/>
      <c r="O210" s="6">
        <f t="shared" si="10"/>
        <v>0</v>
      </c>
      <c r="P210" s="6"/>
      <c r="Q210" s="6"/>
      <c r="R210" s="6">
        <f t="shared" si="9"/>
        <v>0</v>
      </c>
      <c r="S210" s="6"/>
      <c r="T210" s="6"/>
      <c r="U210" s="6">
        <f t="shared" si="11"/>
        <v>0</v>
      </c>
    </row>
    <row r="211" spans="1:21" hidden="1" x14ac:dyDescent="0.2">
      <c r="A211" s="6" t="s">
        <v>341</v>
      </c>
      <c r="B211" s="6" t="s">
        <v>342</v>
      </c>
      <c r="C211" s="6" t="s">
        <v>342</v>
      </c>
      <c r="D211" s="6" t="s">
        <v>342</v>
      </c>
      <c r="E211" s="6"/>
      <c r="F211" s="6">
        <v>209</v>
      </c>
      <c r="G211" s="6"/>
      <c r="H211" s="6"/>
      <c r="I211" s="6"/>
      <c r="J211" s="6"/>
      <c r="K211" s="6"/>
      <c r="L211" s="7"/>
      <c r="M211" s="6"/>
      <c r="N211" s="6"/>
      <c r="O211" s="6">
        <f t="shared" si="10"/>
        <v>0</v>
      </c>
      <c r="P211" s="6"/>
      <c r="Q211" s="6"/>
      <c r="R211" s="6">
        <f t="shared" si="9"/>
        <v>0</v>
      </c>
      <c r="S211" s="6"/>
      <c r="T211" s="6"/>
      <c r="U211" s="6">
        <f t="shared" si="11"/>
        <v>0</v>
      </c>
    </row>
    <row r="212" spans="1:21" hidden="1" x14ac:dyDescent="0.2">
      <c r="A212" s="6" t="s">
        <v>341</v>
      </c>
      <c r="B212" s="6" t="s">
        <v>342</v>
      </c>
      <c r="C212" s="6" t="s">
        <v>342</v>
      </c>
      <c r="D212" s="6" t="s">
        <v>342</v>
      </c>
      <c r="E212" s="6"/>
      <c r="F212" s="6">
        <v>210</v>
      </c>
      <c r="G212" s="6"/>
      <c r="H212" s="6"/>
      <c r="I212" s="6"/>
      <c r="J212" s="6"/>
      <c r="K212" s="6"/>
      <c r="L212" s="7"/>
      <c r="M212" s="6"/>
      <c r="N212" s="6"/>
      <c r="O212" s="6">
        <f t="shared" si="10"/>
        <v>0</v>
      </c>
      <c r="P212" s="6"/>
      <c r="Q212" s="6"/>
      <c r="R212" s="6">
        <f t="shared" si="9"/>
        <v>0</v>
      </c>
      <c r="S212" s="6"/>
      <c r="T212" s="6"/>
      <c r="U212" s="6">
        <f t="shared" si="11"/>
        <v>0</v>
      </c>
    </row>
    <row r="213" spans="1:21" hidden="1" x14ac:dyDescent="0.2">
      <c r="A213" s="6" t="s">
        <v>341</v>
      </c>
      <c r="B213" s="6" t="s">
        <v>342</v>
      </c>
      <c r="C213" s="6" t="s">
        <v>342</v>
      </c>
      <c r="D213" s="6" t="s">
        <v>342</v>
      </c>
      <c r="E213" s="6"/>
      <c r="F213" s="6">
        <v>211</v>
      </c>
      <c r="G213" s="6"/>
      <c r="H213" s="6"/>
      <c r="I213" s="6"/>
      <c r="J213" s="6"/>
      <c r="K213" s="6"/>
      <c r="L213" s="7"/>
      <c r="M213" s="6"/>
      <c r="N213" s="6"/>
      <c r="O213" s="6">
        <f t="shared" si="10"/>
        <v>0</v>
      </c>
      <c r="P213" s="6"/>
      <c r="Q213" s="6"/>
      <c r="R213" s="6">
        <f t="shared" si="9"/>
        <v>0</v>
      </c>
      <c r="S213" s="6"/>
      <c r="T213" s="6"/>
      <c r="U213" s="6">
        <f t="shared" si="11"/>
        <v>0</v>
      </c>
    </row>
    <row r="214" spans="1:21" hidden="1" x14ac:dyDescent="0.2">
      <c r="A214" s="6" t="s">
        <v>341</v>
      </c>
      <c r="B214" s="6" t="s">
        <v>342</v>
      </c>
      <c r="C214" s="6" t="s">
        <v>342</v>
      </c>
      <c r="D214" s="6" t="s">
        <v>342</v>
      </c>
      <c r="E214" s="6"/>
      <c r="F214" s="6">
        <v>212</v>
      </c>
      <c r="G214" s="6"/>
      <c r="H214" s="6"/>
      <c r="I214" s="6"/>
      <c r="J214" s="6"/>
      <c r="K214" s="6"/>
      <c r="L214" s="7"/>
      <c r="M214" s="6"/>
      <c r="N214" s="6"/>
      <c r="O214" s="6">
        <f t="shared" si="10"/>
        <v>0</v>
      </c>
      <c r="P214" s="6"/>
      <c r="Q214" s="6"/>
      <c r="R214" s="6">
        <f t="shared" si="9"/>
        <v>0</v>
      </c>
      <c r="S214" s="6"/>
      <c r="T214" s="6"/>
      <c r="U214" s="6">
        <f t="shared" si="11"/>
        <v>0</v>
      </c>
    </row>
    <row r="215" spans="1:21" hidden="1" x14ac:dyDescent="0.2">
      <c r="A215" s="6" t="s">
        <v>341</v>
      </c>
      <c r="B215" s="6" t="s">
        <v>342</v>
      </c>
      <c r="C215" s="6" t="s">
        <v>342</v>
      </c>
      <c r="D215" s="6" t="s">
        <v>342</v>
      </c>
      <c r="E215" s="6"/>
      <c r="F215" s="6">
        <v>213</v>
      </c>
      <c r="G215" s="6"/>
      <c r="H215" s="6"/>
      <c r="I215" s="6"/>
      <c r="J215" s="6"/>
      <c r="K215" s="6"/>
      <c r="L215" s="7"/>
      <c r="M215" s="6"/>
      <c r="N215" s="6"/>
      <c r="O215" s="6">
        <f t="shared" si="10"/>
        <v>0</v>
      </c>
      <c r="P215" s="6"/>
      <c r="Q215" s="6"/>
      <c r="R215" s="6">
        <f t="shared" si="9"/>
        <v>0</v>
      </c>
      <c r="S215" s="6"/>
      <c r="T215" s="6"/>
      <c r="U215" s="6">
        <f t="shared" si="11"/>
        <v>0</v>
      </c>
    </row>
    <row r="216" spans="1:21" hidden="1" x14ac:dyDescent="0.2">
      <c r="A216" s="6" t="s">
        <v>341</v>
      </c>
      <c r="B216" s="6" t="s">
        <v>342</v>
      </c>
      <c r="C216" s="6" t="s">
        <v>342</v>
      </c>
      <c r="D216" s="6" t="s">
        <v>342</v>
      </c>
      <c r="E216" s="6"/>
      <c r="F216" s="6">
        <v>214</v>
      </c>
      <c r="G216" s="6"/>
      <c r="H216" s="6"/>
      <c r="I216" s="6"/>
      <c r="J216" s="6"/>
      <c r="K216" s="6"/>
      <c r="L216" s="7"/>
      <c r="M216" s="6"/>
      <c r="N216" s="6"/>
      <c r="O216" s="6">
        <f t="shared" si="10"/>
        <v>0</v>
      </c>
      <c r="P216" s="6"/>
      <c r="Q216" s="6"/>
      <c r="R216" s="6">
        <f t="shared" si="9"/>
        <v>0</v>
      </c>
      <c r="S216" s="6"/>
      <c r="T216" s="6"/>
      <c r="U216" s="6">
        <f t="shared" si="11"/>
        <v>0</v>
      </c>
    </row>
    <row r="217" spans="1:21" hidden="1" x14ac:dyDescent="0.2">
      <c r="A217" s="6" t="s">
        <v>341</v>
      </c>
      <c r="B217" s="6" t="s">
        <v>342</v>
      </c>
      <c r="C217" s="6" t="s">
        <v>342</v>
      </c>
      <c r="D217" s="6" t="s">
        <v>342</v>
      </c>
      <c r="E217" s="6"/>
      <c r="F217" s="6">
        <v>215</v>
      </c>
      <c r="G217" s="6"/>
      <c r="H217" s="6"/>
      <c r="I217" s="6"/>
      <c r="J217" s="6"/>
      <c r="K217" s="6"/>
      <c r="L217" s="7"/>
      <c r="M217" s="6"/>
      <c r="N217" s="6"/>
      <c r="O217" s="6">
        <f t="shared" si="10"/>
        <v>0</v>
      </c>
      <c r="P217" s="6"/>
      <c r="Q217" s="6"/>
      <c r="R217" s="6">
        <f t="shared" ref="R217:R280" si="12">IFERROR(Q217-P217,"")</f>
        <v>0</v>
      </c>
      <c r="S217" s="6"/>
      <c r="T217" s="6"/>
      <c r="U217" s="6">
        <f t="shared" si="11"/>
        <v>0</v>
      </c>
    </row>
    <row r="218" spans="1:21" hidden="1" x14ac:dyDescent="0.2">
      <c r="A218" s="6" t="s">
        <v>341</v>
      </c>
      <c r="B218" s="6" t="s">
        <v>342</v>
      </c>
      <c r="C218" s="6" t="s">
        <v>342</v>
      </c>
      <c r="D218" s="6" t="s">
        <v>342</v>
      </c>
      <c r="E218" s="6"/>
      <c r="F218" s="6">
        <v>216</v>
      </c>
      <c r="G218" s="6"/>
      <c r="H218" s="6"/>
      <c r="I218" s="6"/>
      <c r="J218" s="6"/>
      <c r="K218" s="6"/>
      <c r="L218" s="7"/>
      <c r="M218" s="6"/>
      <c r="N218" s="6"/>
      <c r="O218" s="6">
        <f t="shared" si="10"/>
        <v>0</v>
      </c>
      <c r="P218" s="6"/>
      <c r="Q218" s="6"/>
      <c r="R218" s="6">
        <f t="shared" si="12"/>
        <v>0</v>
      </c>
      <c r="S218" s="6"/>
      <c r="T218" s="6"/>
      <c r="U218" s="6">
        <f t="shared" si="11"/>
        <v>0</v>
      </c>
    </row>
    <row r="219" spans="1:21" hidden="1" x14ac:dyDescent="0.2">
      <c r="A219" s="6" t="s">
        <v>341</v>
      </c>
      <c r="B219" s="6" t="s">
        <v>342</v>
      </c>
      <c r="C219" s="6" t="s">
        <v>342</v>
      </c>
      <c r="D219" s="6" t="s">
        <v>342</v>
      </c>
      <c r="E219" s="6"/>
      <c r="F219" s="6">
        <v>217</v>
      </c>
      <c r="G219" s="6"/>
      <c r="H219" s="6"/>
      <c r="I219" s="6"/>
      <c r="J219" s="6"/>
      <c r="K219" s="6"/>
      <c r="L219" s="7"/>
      <c r="M219" s="6"/>
      <c r="N219" s="6"/>
      <c r="O219" s="6">
        <f t="shared" si="10"/>
        <v>0</v>
      </c>
      <c r="P219" s="6"/>
      <c r="Q219" s="6"/>
      <c r="R219" s="6">
        <f t="shared" si="12"/>
        <v>0</v>
      </c>
      <c r="S219" s="6"/>
      <c r="T219" s="6"/>
      <c r="U219" s="6">
        <f t="shared" si="11"/>
        <v>0</v>
      </c>
    </row>
    <row r="220" spans="1:21" hidden="1" x14ac:dyDescent="0.2">
      <c r="A220" s="6" t="s">
        <v>341</v>
      </c>
      <c r="B220" s="6" t="s">
        <v>342</v>
      </c>
      <c r="C220" s="6" t="s">
        <v>342</v>
      </c>
      <c r="D220" s="6" t="s">
        <v>342</v>
      </c>
      <c r="E220" s="6"/>
      <c r="F220" s="6">
        <v>218</v>
      </c>
      <c r="G220" s="6"/>
      <c r="H220" s="6"/>
      <c r="I220" s="6"/>
      <c r="J220" s="6"/>
      <c r="K220" s="6"/>
      <c r="L220" s="7"/>
      <c r="M220" s="6"/>
      <c r="N220" s="6"/>
      <c r="O220" s="6">
        <f t="shared" si="10"/>
        <v>0</v>
      </c>
      <c r="P220" s="6"/>
      <c r="Q220" s="6"/>
      <c r="R220" s="6">
        <f t="shared" si="12"/>
        <v>0</v>
      </c>
      <c r="S220" s="6"/>
      <c r="T220" s="6"/>
      <c r="U220" s="6">
        <f t="shared" si="11"/>
        <v>0</v>
      </c>
    </row>
    <row r="221" spans="1:21" hidden="1" x14ac:dyDescent="0.2">
      <c r="A221" s="6" t="s">
        <v>341</v>
      </c>
      <c r="B221" s="6" t="s">
        <v>342</v>
      </c>
      <c r="C221" s="6" t="s">
        <v>342</v>
      </c>
      <c r="D221" s="6" t="s">
        <v>342</v>
      </c>
      <c r="E221" s="6"/>
      <c r="F221" s="6">
        <v>219</v>
      </c>
      <c r="G221" s="6"/>
      <c r="H221" s="6"/>
      <c r="I221" s="6"/>
      <c r="J221" s="6"/>
      <c r="K221" s="6"/>
      <c r="L221" s="7"/>
      <c r="M221" s="6"/>
      <c r="N221" s="6"/>
      <c r="O221" s="6">
        <f t="shared" si="10"/>
        <v>0</v>
      </c>
      <c r="P221" s="6"/>
      <c r="Q221" s="6"/>
      <c r="R221" s="6">
        <f t="shared" si="12"/>
        <v>0</v>
      </c>
      <c r="S221" s="6"/>
      <c r="T221" s="6"/>
      <c r="U221" s="6">
        <f t="shared" si="11"/>
        <v>0</v>
      </c>
    </row>
    <row r="222" spans="1:21" hidden="1" x14ac:dyDescent="0.2">
      <c r="A222" s="6" t="s">
        <v>341</v>
      </c>
      <c r="B222" s="6" t="s">
        <v>342</v>
      </c>
      <c r="C222" s="6" t="s">
        <v>342</v>
      </c>
      <c r="D222" s="6" t="s">
        <v>342</v>
      </c>
      <c r="E222" s="6"/>
      <c r="F222" s="6">
        <v>220</v>
      </c>
      <c r="G222" s="6"/>
      <c r="H222" s="6"/>
      <c r="I222" s="6"/>
      <c r="J222" s="6"/>
      <c r="K222" s="6"/>
      <c r="L222" s="7"/>
      <c r="M222" s="6"/>
      <c r="N222" s="6"/>
      <c r="O222" s="6">
        <f t="shared" si="10"/>
        <v>0</v>
      </c>
      <c r="P222" s="6"/>
      <c r="Q222" s="6"/>
      <c r="R222" s="6">
        <f t="shared" si="12"/>
        <v>0</v>
      </c>
      <c r="S222" s="6"/>
      <c r="T222" s="6"/>
      <c r="U222" s="6">
        <f t="shared" si="11"/>
        <v>0</v>
      </c>
    </row>
    <row r="223" spans="1:21" hidden="1" x14ac:dyDescent="0.2">
      <c r="A223" s="6" t="s">
        <v>341</v>
      </c>
      <c r="B223" s="6" t="s">
        <v>342</v>
      </c>
      <c r="C223" s="6" t="s">
        <v>342</v>
      </c>
      <c r="D223" s="6" t="s">
        <v>342</v>
      </c>
      <c r="E223" s="6"/>
      <c r="F223" s="6">
        <v>221</v>
      </c>
      <c r="G223" s="6"/>
      <c r="H223" s="6"/>
      <c r="I223" s="6"/>
      <c r="J223" s="6"/>
      <c r="K223" s="6"/>
      <c r="L223" s="7"/>
      <c r="M223" s="6"/>
      <c r="N223" s="6"/>
      <c r="O223" s="6">
        <f t="shared" si="10"/>
        <v>0</v>
      </c>
      <c r="P223" s="6"/>
      <c r="Q223" s="6"/>
      <c r="R223" s="6">
        <f t="shared" si="12"/>
        <v>0</v>
      </c>
      <c r="S223" s="6"/>
      <c r="T223" s="6"/>
      <c r="U223" s="6">
        <f t="shared" si="11"/>
        <v>0</v>
      </c>
    </row>
    <row r="224" spans="1:21" hidden="1" x14ac:dyDescent="0.2">
      <c r="A224" s="6" t="s">
        <v>341</v>
      </c>
      <c r="B224" s="6" t="s">
        <v>342</v>
      </c>
      <c r="C224" s="6" t="s">
        <v>342</v>
      </c>
      <c r="D224" s="6" t="s">
        <v>342</v>
      </c>
      <c r="E224" s="6"/>
      <c r="F224" s="6">
        <v>222</v>
      </c>
      <c r="G224" s="6"/>
      <c r="H224" s="6"/>
      <c r="I224" s="6"/>
      <c r="J224" s="6"/>
      <c r="K224" s="6"/>
      <c r="L224" s="7"/>
      <c r="M224" s="6"/>
      <c r="N224" s="6"/>
      <c r="O224" s="6">
        <f t="shared" si="10"/>
        <v>0</v>
      </c>
      <c r="P224" s="6"/>
      <c r="Q224" s="6"/>
      <c r="R224" s="6">
        <f t="shared" si="12"/>
        <v>0</v>
      </c>
      <c r="S224" s="6"/>
      <c r="T224" s="6"/>
      <c r="U224" s="6">
        <f t="shared" si="11"/>
        <v>0</v>
      </c>
    </row>
    <row r="225" spans="1:21" hidden="1" x14ac:dyDescent="0.2">
      <c r="A225" s="6" t="s">
        <v>341</v>
      </c>
      <c r="B225" s="6" t="s">
        <v>342</v>
      </c>
      <c r="C225" s="6" t="s">
        <v>342</v>
      </c>
      <c r="D225" s="6" t="s">
        <v>342</v>
      </c>
      <c r="E225" s="6"/>
      <c r="F225" s="6">
        <v>223</v>
      </c>
      <c r="G225" s="6"/>
      <c r="H225" s="6"/>
      <c r="I225" s="6"/>
      <c r="J225" s="6"/>
      <c r="K225" s="6"/>
      <c r="L225" s="7"/>
      <c r="M225" s="6"/>
      <c r="N225" s="6"/>
      <c r="O225" s="6">
        <f t="shared" si="10"/>
        <v>0</v>
      </c>
      <c r="P225" s="6"/>
      <c r="Q225" s="6"/>
      <c r="R225" s="6">
        <f t="shared" si="12"/>
        <v>0</v>
      </c>
      <c r="S225" s="6"/>
      <c r="T225" s="6"/>
      <c r="U225" s="6">
        <f t="shared" si="11"/>
        <v>0</v>
      </c>
    </row>
    <row r="226" spans="1:21" hidden="1" x14ac:dyDescent="0.2">
      <c r="A226" s="6" t="s">
        <v>341</v>
      </c>
      <c r="B226" s="6" t="s">
        <v>342</v>
      </c>
      <c r="C226" s="6" t="s">
        <v>342</v>
      </c>
      <c r="D226" s="6" t="s">
        <v>342</v>
      </c>
      <c r="E226" s="6"/>
      <c r="F226" s="6">
        <v>224</v>
      </c>
      <c r="G226" s="6"/>
      <c r="H226" s="6"/>
      <c r="I226" s="6"/>
      <c r="J226" s="6"/>
      <c r="K226" s="6"/>
      <c r="L226" s="7"/>
      <c r="M226" s="6"/>
      <c r="N226" s="6"/>
      <c r="O226" s="6">
        <f t="shared" si="10"/>
        <v>0</v>
      </c>
      <c r="P226" s="6"/>
      <c r="Q226" s="6"/>
      <c r="R226" s="6">
        <f t="shared" si="12"/>
        <v>0</v>
      </c>
      <c r="S226" s="6"/>
      <c r="T226" s="6"/>
      <c r="U226" s="6">
        <f t="shared" si="11"/>
        <v>0</v>
      </c>
    </row>
    <row r="227" spans="1:21" hidden="1" x14ac:dyDescent="0.2">
      <c r="A227" s="6" t="s">
        <v>341</v>
      </c>
      <c r="B227" s="6" t="s">
        <v>342</v>
      </c>
      <c r="C227" s="6" t="s">
        <v>342</v>
      </c>
      <c r="D227" s="6" t="s">
        <v>342</v>
      </c>
      <c r="E227" s="6"/>
      <c r="F227" s="6">
        <v>225</v>
      </c>
      <c r="G227" s="6"/>
      <c r="H227" s="6"/>
      <c r="I227" s="6"/>
      <c r="J227" s="6"/>
      <c r="K227" s="6"/>
      <c r="L227" s="7"/>
      <c r="M227" s="6"/>
      <c r="N227" s="6"/>
      <c r="O227" s="6">
        <f t="shared" si="10"/>
        <v>0</v>
      </c>
      <c r="P227" s="6"/>
      <c r="Q227" s="6"/>
      <c r="R227" s="6">
        <f t="shared" si="12"/>
        <v>0</v>
      </c>
      <c r="S227" s="6"/>
      <c r="T227" s="6"/>
      <c r="U227" s="6">
        <f t="shared" si="11"/>
        <v>0</v>
      </c>
    </row>
    <row r="228" spans="1:21" hidden="1" x14ac:dyDescent="0.2">
      <c r="A228" s="6" t="s">
        <v>341</v>
      </c>
      <c r="B228" s="6" t="s">
        <v>342</v>
      </c>
      <c r="C228" s="6" t="s">
        <v>342</v>
      </c>
      <c r="D228" s="6" t="s">
        <v>342</v>
      </c>
      <c r="E228" s="6"/>
      <c r="F228" s="6">
        <v>226</v>
      </c>
      <c r="G228" s="6"/>
      <c r="H228" s="6"/>
      <c r="I228" s="6"/>
      <c r="J228" s="6"/>
      <c r="K228" s="6"/>
      <c r="L228" s="7"/>
      <c r="M228" s="6"/>
      <c r="N228" s="6"/>
      <c r="O228" s="6">
        <f t="shared" si="10"/>
        <v>0</v>
      </c>
      <c r="P228" s="6"/>
      <c r="Q228" s="6"/>
      <c r="R228" s="6">
        <f t="shared" si="12"/>
        <v>0</v>
      </c>
      <c r="S228" s="6"/>
      <c r="T228" s="6"/>
      <c r="U228" s="6">
        <f t="shared" si="11"/>
        <v>0</v>
      </c>
    </row>
    <row r="229" spans="1:21" hidden="1" x14ac:dyDescent="0.2">
      <c r="A229" s="6" t="s">
        <v>341</v>
      </c>
      <c r="B229" s="6" t="s">
        <v>342</v>
      </c>
      <c r="C229" s="6" t="s">
        <v>342</v>
      </c>
      <c r="D229" s="6" t="s">
        <v>342</v>
      </c>
      <c r="E229" s="6"/>
      <c r="F229" s="6">
        <v>227</v>
      </c>
      <c r="G229" s="6"/>
      <c r="H229" s="6"/>
      <c r="I229" s="6"/>
      <c r="J229" s="6"/>
      <c r="K229" s="6"/>
      <c r="L229" s="7"/>
      <c r="M229" s="6"/>
      <c r="N229" s="6"/>
      <c r="O229" s="6">
        <f t="shared" si="10"/>
        <v>0</v>
      </c>
      <c r="P229" s="6"/>
      <c r="Q229" s="6"/>
      <c r="R229" s="6">
        <f t="shared" si="12"/>
        <v>0</v>
      </c>
      <c r="S229" s="6"/>
      <c r="T229" s="6"/>
      <c r="U229" s="6">
        <f t="shared" si="11"/>
        <v>0</v>
      </c>
    </row>
    <row r="230" spans="1:21" hidden="1" x14ac:dyDescent="0.2">
      <c r="A230" s="6" t="s">
        <v>341</v>
      </c>
      <c r="B230" s="6" t="s">
        <v>342</v>
      </c>
      <c r="C230" s="6" t="s">
        <v>342</v>
      </c>
      <c r="D230" s="6" t="s">
        <v>342</v>
      </c>
      <c r="E230" s="6"/>
      <c r="F230" s="6">
        <v>228</v>
      </c>
      <c r="G230" s="6"/>
      <c r="H230" s="6"/>
      <c r="I230" s="6"/>
      <c r="J230" s="6"/>
      <c r="K230" s="6"/>
      <c r="L230" s="7"/>
      <c r="M230" s="6"/>
      <c r="N230" s="6"/>
      <c r="O230" s="6">
        <f t="shared" si="10"/>
        <v>0</v>
      </c>
      <c r="P230" s="6"/>
      <c r="Q230" s="6"/>
      <c r="R230" s="6">
        <f t="shared" si="12"/>
        <v>0</v>
      </c>
      <c r="S230" s="6"/>
      <c r="T230" s="6"/>
      <c r="U230" s="6">
        <f t="shared" si="11"/>
        <v>0</v>
      </c>
    </row>
    <row r="231" spans="1:21" hidden="1" x14ac:dyDescent="0.2">
      <c r="A231" s="6" t="s">
        <v>341</v>
      </c>
      <c r="B231" s="6" t="s">
        <v>342</v>
      </c>
      <c r="C231" s="6" t="s">
        <v>342</v>
      </c>
      <c r="D231" s="6" t="s">
        <v>342</v>
      </c>
      <c r="E231" s="6"/>
      <c r="F231" s="6">
        <v>229</v>
      </c>
      <c r="G231" s="6"/>
      <c r="H231" s="6"/>
      <c r="I231" s="6"/>
      <c r="J231" s="6"/>
      <c r="K231" s="6"/>
      <c r="L231" s="7"/>
      <c r="M231" s="6"/>
      <c r="N231" s="6"/>
      <c r="O231" s="6">
        <f t="shared" si="10"/>
        <v>0</v>
      </c>
      <c r="P231" s="6"/>
      <c r="Q231" s="6"/>
      <c r="R231" s="6">
        <f t="shared" si="12"/>
        <v>0</v>
      </c>
      <c r="S231" s="6"/>
      <c r="T231" s="6"/>
      <c r="U231" s="6">
        <f t="shared" si="11"/>
        <v>0</v>
      </c>
    </row>
    <row r="232" spans="1:21" hidden="1" x14ac:dyDescent="0.2">
      <c r="A232" s="6" t="s">
        <v>341</v>
      </c>
      <c r="B232" s="6" t="s">
        <v>342</v>
      </c>
      <c r="C232" s="6" t="s">
        <v>342</v>
      </c>
      <c r="D232" s="6" t="s">
        <v>342</v>
      </c>
      <c r="E232" s="6"/>
      <c r="F232" s="6">
        <v>230</v>
      </c>
      <c r="G232" s="6"/>
      <c r="H232" s="6"/>
      <c r="I232" s="6"/>
      <c r="J232" s="6"/>
      <c r="K232" s="6"/>
      <c r="L232" s="7"/>
      <c r="M232" s="6"/>
      <c r="N232" s="6"/>
      <c r="O232" s="6">
        <f t="shared" si="10"/>
        <v>0</v>
      </c>
      <c r="P232" s="6"/>
      <c r="Q232" s="6"/>
      <c r="R232" s="6">
        <f t="shared" si="12"/>
        <v>0</v>
      </c>
      <c r="S232" s="6"/>
      <c r="T232" s="6"/>
      <c r="U232" s="6">
        <f t="shared" si="11"/>
        <v>0</v>
      </c>
    </row>
    <row r="233" spans="1:21" hidden="1" x14ac:dyDescent="0.2">
      <c r="A233" s="6" t="s">
        <v>341</v>
      </c>
      <c r="B233" s="6" t="s">
        <v>342</v>
      </c>
      <c r="C233" s="6" t="s">
        <v>342</v>
      </c>
      <c r="D233" s="6" t="s">
        <v>342</v>
      </c>
      <c r="E233" s="6"/>
      <c r="F233" s="6">
        <v>231</v>
      </c>
      <c r="G233" s="6"/>
      <c r="H233" s="6"/>
      <c r="I233" s="6"/>
      <c r="J233" s="6"/>
      <c r="K233" s="6"/>
      <c r="L233" s="7"/>
      <c r="M233" s="6"/>
      <c r="N233" s="6"/>
      <c r="O233" s="6">
        <f t="shared" si="10"/>
        <v>0</v>
      </c>
      <c r="P233" s="6"/>
      <c r="Q233" s="6"/>
      <c r="R233" s="6">
        <f t="shared" si="12"/>
        <v>0</v>
      </c>
      <c r="S233" s="6"/>
      <c r="T233" s="6"/>
      <c r="U233" s="6">
        <f t="shared" si="11"/>
        <v>0</v>
      </c>
    </row>
    <row r="234" spans="1:21" hidden="1" x14ac:dyDescent="0.2">
      <c r="A234" s="6" t="s">
        <v>341</v>
      </c>
      <c r="B234" s="6" t="s">
        <v>342</v>
      </c>
      <c r="C234" s="6" t="s">
        <v>342</v>
      </c>
      <c r="D234" s="6" t="s">
        <v>342</v>
      </c>
      <c r="E234" s="6"/>
      <c r="F234" s="6">
        <v>232</v>
      </c>
      <c r="G234" s="6"/>
      <c r="H234" s="6"/>
      <c r="I234" s="6"/>
      <c r="J234" s="6"/>
      <c r="K234" s="6"/>
      <c r="L234" s="7"/>
      <c r="M234" s="6"/>
      <c r="N234" s="6"/>
      <c r="O234" s="6">
        <f t="shared" si="10"/>
        <v>0</v>
      </c>
      <c r="P234" s="6"/>
      <c r="Q234" s="6"/>
      <c r="R234" s="6">
        <f t="shared" si="12"/>
        <v>0</v>
      </c>
      <c r="S234" s="6"/>
      <c r="T234" s="6"/>
      <c r="U234" s="6">
        <f t="shared" si="11"/>
        <v>0</v>
      </c>
    </row>
    <row r="235" spans="1:21" hidden="1" x14ac:dyDescent="0.2">
      <c r="A235" s="6" t="s">
        <v>341</v>
      </c>
      <c r="B235" s="6" t="s">
        <v>342</v>
      </c>
      <c r="C235" s="6" t="s">
        <v>342</v>
      </c>
      <c r="D235" s="6" t="s">
        <v>342</v>
      </c>
      <c r="E235" s="6"/>
      <c r="F235" s="6">
        <v>233</v>
      </c>
      <c r="G235" s="6"/>
      <c r="H235" s="6"/>
      <c r="I235" s="6"/>
      <c r="J235" s="6"/>
      <c r="K235" s="6"/>
      <c r="L235" s="7"/>
      <c r="M235" s="6"/>
      <c r="N235" s="6"/>
      <c r="O235" s="6">
        <f t="shared" si="10"/>
        <v>0</v>
      </c>
      <c r="P235" s="6"/>
      <c r="Q235" s="6"/>
      <c r="R235" s="6">
        <f t="shared" si="12"/>
        <v>0</v>
      </c>
      <c r="S235" s="6"/>
      <c r="T235" s="6"/>
      <c r="U235" s="6">
        <f t="shared" si="11"/>
        <v>0</v>
      </c>
    </row>
    <row r="236" spans="1:21" hidden="1" x14ac:dyDescent="0.2">
      <c r="A236" s="6" t="s">
        <v>341</v>
      </c>
      <c r="B236" s="6" t="s">
        <v>342</v>
      </c>
      <c r="C236" s="6" t="s">
        <v>342</v>
      </c>
      <c r="D236" s="6" t="s">
        <v>342</v>
      </c>
      <c r="E236" s="6"/>
      <c r="F236" s="6">
        <v>234</v>
      </c>
      <c r="G236" s="6"/>
      <c r="H236" s="6"/>
      <c r="I236" s="6"/>
      <c r="J236" s="6"/>
      <c r="K236" s="6"/>
      <c r="L236" s="7"/>
      <c r="M236" s="6"/>
      <c r="N236" s="6"/>
      <c r="O236" s="6">
        <f t="shared" si="10"/>
        <v>0</v>
      </c>
      <c r="P236" s="6"/>
      <c r="Q236" s="6"/>
      <c r="R236" s="6">
        <f t="shared" si="12"/>
        <v>0</v>
      </c>
      <c r="S236" s="6"/>
      <c r="T236" s="6"/>
      <c r="U236" s="6">
        <f t="shared" si="11"/>
        <v>0</v>
      </c>
    </row>
    <row r="237" spans="1:21" hidden="1" x14ac:dyDescent="0.2">
      <c r="A237" s="6" t="s">
        <v>341</v>
      </c>
      <c r="B237" s="6" t="s">
        <v>342</v>
      </c>
      <c r="C237" s="6" t="s">
        <v>342</v>
      </c>
      <c r="D237" s="6" t="s">
        <v>342</v>
      </c>
      <c r="E237" s="6"/>
      <c r="F237" s="6">
        <v>235</v>
      </c>
      <c r="G237" s="6"/>
      <c r="H237" s="6"/>
      <c r="I237" s="6"/>
      <c r="J237" s="6"/>
      <c r="K237" s="6"/>
      <c r="L237" s="7"/>
      <c r="M237" s="6"/>
      <c r="N237" s="6"/>
      <c r="O237" s="6">
        <f t="shared" si="10"/>
        <v>0</v>
      </c>
      <c r="P237" s="6"/>
      <c r="Q237" s="6"/>
      <c r="R237" s="6">
        <f t="shared" si="12"/>
        <v>0</v>
      </c>
      <c r="S237" s="6"/>
      <c r="T237" s="6"/>
      <c r="U237" s="6">
        <f t="shared" si="11"/>
        <v>0</v>
      </c>
    </row>
    <row r="238" spans="1:21" hidden="1" x14ac:dyDescent="0.2">
      <c r="A238" s="6" t="s">
        <v>341</v>
      </c>
      <c r="B238" s="6" t="s">
        <v>342</v>
      </c>
      <c r="C238" s="6" t="s">
        <v>342</v>
      </c>
      <c r="D238" s="6" t="s">
        <v>342</v>
      </c>
      <c r="E238" s="6"/>
      <c r="F238" s="6">
        <v>236</v>
      </c>
      <c r="G238" s="6"/>
      <c r="H238" s="6"/>
      <c r="I238" s="6"/>
      <c r="J238" s="6"/>
      <c r="K238" s="6"/>
      <c r="L238" s="7"/>
      <c r="M238" s="6"/>
      <c r="N238" s="6"/>
      <c r="O238" s="6">
        <f t="shared" si="10"/>
        <v>0</v>
      </c>
      <c r="P238" s="6"/>
      <c r="Q238" s="6"/>
      <c r="R238" s="6">
        <f t="shared" si="12"/>
        <v>0</v>
      </c>
      <c r="S238" s="6"/>
      <c r="T238" s="6"/>
      <c r="U238" s="6">
        <f t="shared" si="11"/>
        <v>0</v>
      </c>
    </row>
    <row r="239" spans="1:21" hidden="1" x14ac:dyDescent="0.2">
      <c r="A239" s="6" t="s">
        <v>341</v>
      </c>
      <c r="B239" s="6" t="s">
        <v>342</v>
      </c>
      <c r="C239" s="6" t="s">
        <v>342</v>
      </c>
      <c r="D239" s="6" t="s">
        <v>342</v>
      </c>
      <c r="E239" s="6"/>
      <c r="F239" s="6">
        <v>237</v>
      </c>
      <c r="G239" s="6"/>
      <c r="H239" s="6"/>
      <c r="I239" s="6"/>
      <c r="J239" s="6"/>
      <c r="K239" s="6"/>
      <c r="L239" s="7"/>
      <c r="M239" s="6"/>
      <c r="N239" s="6"/>
      <c r="O239" s="6">
        <f t="shared" si="10"/>
        <v>0</v>
      </c>
      <c r="P239" s="6"/>
      <c r="Q239" s="6"/>
      <c r="R239" s="6">
        <f t="shared" si="12"/>
        <v>0</v>
      </c>
      <c r="S239" s="6"/>
      <c r="T239" s="6"/>
      <c r="U239" s="6">
        <f t="shared" si="11"/>
        <v>0</v>
      </c>
    </row>
    <row r="240" spans="1:21" hidden="1" x14ac:dyDescent="0.2">
      <c r="A240" s="6" t="s">
        <v>341</v>
      </c>
      <c r="B240" s="6" t="s">
        <v>342</v>
      </c>
      <c r="C240" s="6" t="s">
        <v>342</v>
      </c>
      <c r="D240" s="6" t="s">
        <v>342</v>
      </c>
      <c r="E240" s="6"/>
      <c r="F240" s="6">
        <v>238</v>
      </c>
      <c r="G240" s="6"/>
      <c r="H240" s="6"/>
      <c r="I240" s="6"/>
      <c r="J240" s="6"/>
      <c r="K240" s="6"/>
      <c r="L240" s="7"/>
      <c r="M240" s="6"/>
      <c r="N240" s="6"/>
      <c r="O240" s="6">
        <f t="shared" si="10"/>
        <v>0</v>
      </c>
      <c r="P240" s="6"/>
      <c r="Q240" s="6"/>
      <c r="R240" s="6">
        <f t="shared" si="12"/>
        <v>0</v>
      </c>
      <c r="S240" s="6"/>
      <c r="T240" s="6"/>
      <c r="U240" s="6">
        <f t="shared" si="11"/>
        <v>0</v>
      </c>
    </row>
    <row r="241" spans="1:21" hidden="1" x14ac:dyDescent="0.2">
      <c r="A241" s="6" t="s">
        <v>341</v>
      </c>
      <c r="B241" s="6" t="s">
        <v>342</v>
      </c>
      <c r="C241" s="6" t="s">
        <v>342</v>
      </c>
      <c r="D241" s="6" t="s">
        <v>342</v>
      </c>
      <c r="E241" s="6"/>
      <c r="F241" s="6">
        <v>239</v>
      </c>
      <c r="G241" s="6"/>
      <c r="H241" s="6"/>
      <c r="I241" s="6"/>
      <c r="J241" s="6"/>
      <c r="K241" s="6"/>
      <c r="L241" s="7"/>
      <c r="M241" s="6"/>
      <c r="N241" s="6"/>
      <c r="O241" s="6">
        <f t="shared" si="10"/>
        <v>0</v>
      </c>
      <c r="P241" s="6"/>
      <c r="Q241" s="6"/>
      <c r="R241" s="6">
        <f t="shared" si="12"/>
        <v>0</v>
      </c>
      <c r="S241" s="6"/>
      <c r="T241" s="6"/>
      <c r="U241" s="6">
        <f t="shared" si="11"/>
        <v>0</v>
      </c>
    </row>
    <row r="242" spans="1:21" hidden="1" x14ac:dyDescent="0.2">
      <c r="A242" s="6" t="s">
        <v>341</v>
      </c>
      <c r="B242" s="6" t="s">
        <v>342</v>
      </c>
      <c r="C242" s="6" t="s">
        <v>342</v>
      </c>
      <c r="D242" s="6" t="s">
        <v>342</v>
      </c>
      <c r="E242" s="6"/>
      <c r="F242" s="6">
        <v>240</v>
      </c>
      <c r="G242" s="6"/>
      <c r="H242" s="6"/>
      <c r="I242" s="6"/>
      <c r="J242" s="6"/>
      <c r="K242" s="6"/>
      <c r="L242" s="7"/>
      <c r="M242" s="6"/>
      <c r="N242" s="6"/>
      <c r="O242" s="6">
        <f t="shared" si="10"/>
        <v>0</v>
      </c>
      <c r="P242" s="6"/>
      <c r="Q242" s="6"/>
      <c r="R242" s="6">
        <f t="shared" si="12"/>
        <v>0</v>
      </c>
      <c r="S242" s="6"/>
      <c r="T242" s="6"/>
      <c r="U242" s="6">
        <f t="shared" si="11"/>
        <v>0</v>
      </c>
    </row>
    <row r="243" spans="1:21" hidden="1" x14ac:dyDescent="0.2">
      <c r="A243" s="6" t="s">
        <v>341</v>
      </c>
      <c r="B243" s="6" t="s">
        <v>342</v>
      </c>
      <c r="C243" s="6" t="s">
        <v>342</v>
      </c>
      <c r="D243" s="6" t="s">
        <v>342</v>
      </c>
      <c r="E243" s="6"/>
      <c r="F243" s="6">
        <v>241</v>
      </c>
      <c r="G243" s="6"/>
      <c r="H243" s="6"/>
      <c r="I243" s="6"/>
      <c r="J243" s="6"/>
      <c r="K243" s="6"/>
      <c r="L243" s="7"/>
      <c r="M243" s="6"/>
      <c r="N243" s="6"/>
      <c r="O243" s="6">
        <f t="shared" si="10"/>
        <v>0</v>
      </c>
      <c r="P243" s="6"/>
      <c r="Q243" s="6"/>
      <c r="R243" s="6">
        <f t="shared" si="12"/>
        <v>0</v>
      </c>
      <c r="S243" s="6"/>
      <c r="T243" s="6"/>
      <c r="U243" s="6">
        <f t="shared" si="11"/>
        <v>0</v>
      </c>
    </row>
    <row r="244" spans="1:21" hidden="1" x14ac:dyDescent="0.2">
      <c r="A244" s="6" t="s">
        <v>341</v>
      </c>
      <c r="B244" s="6" t="s">
        <v>342</v>
      </c>
      <c r="C244" s="6" t="s">
        <v>342</v>
      </c>
      <c r="D244" s="6" t="s">
        <v>342</v>
      </c>
      <c r="E244" s="6"/>
      <c r="F244" s="6">
        <v>242</v>
      </c>
      <c r="G244" s="6"/>
      <c r="H244" s="6"/>
      <c r="I244" s="6"/>
      <c r="J244" s="6"/>
      <c r="K244" s="6"/>
      <c r="L244" s="7"/>
      <c r="M244" s="6"/>
      <c r="N244" s="6"/>
      <c r="O244" s="6">
        <f t="shared" si="10"/>
        <v>0</v>
      </c>
      <c r="P244" s="6"/>
      <c r="Q244" s="6"/>
      <c r="R244" s="6">
        <f t="shared" si="12"/>
        <v>0</v>
      </c>
      <c r="S244" s="6"/>
      <c r="T244" s="6"/>
      <c r="U244" s="6">
        <f t="shared" si="11"/>
        <v>0</v>
      </c>
    </row>
    <row r="245" spans="1:21" hidden="1" x14ac:dyDescent="0.2">
      <c r="A245" s="6" t="s">
        <v>341</v>
      </c>
      <c r="B245" s="6" t="s">
        <v>342</v>
      </c>
      <c r="C245" s="6" t="s">
        <v>342</v>
      </c>
      <c r="D245" s="6" t="s">
        <v>342</v>
      </c>
      <c r="E245" s="6"/>
      <c r="F245" s="6">
        <v>243</v>
      </c>
      <c r="G245" s="6"/>
      <c r="H245" s="6"/>
      <c r="I245" s="6"/>
      <c r="J245" s="6"/>
      <c r="K245" s="6"/>
      <c r="L245" s="7"/>
      <c r="M245" s="6"/>
      <c r="N245" s="6"/>
      <c r="O245" s="6">
        <f t="shared" si="10"/>
        <v>0</v>
      </c>
      <c r="P245" s="6"/>
      <c r="Q245" s="6"/>
      <c r="R245" s="6">
        <f t="shared" si="12"/>
        <v>0</v>
      </c>
      <c r="S245" s="6"/>
      <c r="T245" s="6"/>
      <c r="U245" s="6">
        <f t="shared" si="11"/>
        <v>0</v>
      </c>
    </row>
    <row r="246" spans="1:21" hidden="1" x14ac:dyDescent="0.2">
      <c r="A246" s="6" t="s">
        <v>341</v>
      </c>
      <c r="B246" s="6" t="s">
        <v>342</v>
      </c>
      <c r="C246" s="6" t="s">
        <v>342</v>
      </c>
      <c r="D246" s="6" t="s">
        <v>342</v>
      </c>
      <c r="E246" s="6"/>
      <c r="F246" s="6">
        <v>244</v>
      </c>
      <c r="G246" s="6"/>
      <c r="H246" s="6"/>
      <c r="I246" s="6"/>
      <c r="J246" s="6"/>
      <c r="K246" s="6"/>
      <c r="L246" s="7"/>
      <c r="M246" s="6"/>
      <c r="N246" s="6"/>
      <c r="O246" s="6">
        <f t="shared" si="10"/>
        <v>0</v>
      </c>
      <c r="P246" s="6"/>
      <c r="Q246" s="6"/>
      <c r="R246" s="6">
        <f t="shared" si="12"/>
        <v>0</v>
      </c>
      <c r="S246" s="6"/>
      <c r="T246" s="6"/>
      <c r="U246" s="6">
        <f t="shared" si="11"/>
        <v>0</v>
      </c>
    </row>
    <row r="247" spans="1:21" hidden="1" x14ac:dyDescent="0.2">
      <c r="A247" s="6" t="s">
        <v>341</v>
      </c>
      <c r="B247" s="6" t="s">
        <v>342</v>
      </c>
      <c r="C247" s="6" t="s">
        <v>342</v>
      </c>
      <c r="D247" s="6" t="s">
        <v>342</v>
      </c>
      <c r="E247" s="6"/>
      <c r="F247" s="6">
        <v>245</v>
      </c>
      <c r="G247" s="6"/>
      <c r="H247" s="6"/>
      <c r="I247" s="6"/>
      <c r="J247" s="6"/>
      <c r="K247" s="6"/>
      <c r="L247" s="7"/>
      <c r="M247" s="6"/>
      <c r="N247" s="6"/>
      <c r="O247" s="6">
        <f t="shared" si="10"/>
        <v>0</v>
      </c>
      <c r="P247" s="6"/>
      <c r="Q247" s="6"/>
      <c r="R247" s="6">
        <f t="shared" si="12"/>
        <v>0</v>
      </c>
      <c r="S247" s="6"/>
      <c r="T247" s="6"/>
      <c r="U247" s="6">
        <f t="shared" si="11"/>
        <v>0</v>
      </c>
    </row>
    <row r="248" spans="1:21" hidden="1" x14ac:dyDescent="0.2">
      <c r="A248" s="6" t="s">
        <v>341</v>
      </c>
      <c r="B248" s="6" t="s">
        <v>342</v>
      </c>
      <c r="C248" s="6" t="s">
        <v>342</v>
      </c>
      <c r="D248" s="6" t="s">
        <v>342</v>
      </c>
      <c r="E248" s="6"/>
      <c r="F248" s="6">
        <v>246</v>
      </c>
      <c r="G248" s="6"/>
      <c r="H248" s="6"/>
      <c r="I248" s="6"/>
      <c r="J248" s="6"/>
      <c r="K248" s="6"/>
      <c r="L248" s="7"/>
      <c r="M248" s="6"/>
      <c r="N248" s="6"/>
      <c r="O248" s="6">
        <f t="shared" si="10"/>
        <v>0</v>
      </c>
      <c r="P248" s="6"/>
      <c r="Q248" s="6"/>
      <c r="R248" s="6">
        <f t="shared" si="12"/>
        <v>0</v>
      </c>
      <c r="S248" s="6"/>
      <c r="T248" s="6"/>
      <c r="U248" s="6">
        <f t="shared" si="11"/>
        <v>0</v>
      </c>
    </row>
    <row r="249" spans="1:21" hidden="1" x14ac:dyDescent="0.2">
      <c r="A249" s="6" t="s">
        <v>341</v>
      </c>
      <c r="B249" s="6" t="s">
        <v>342</v>
      </c>
      <c r="C249" s="6" t="s">
        <v>342</v>
      </c>
      <c r="D249" s="6" t="s">
        <v>342</v>
      </c>
      <c r="E249" s="6"/>
      <c r="F249" s="6">
        <v>247</v>
      </c>
      <c r="G249" s="6"/>
      <c r="H249" s="6"/>
      <c r="I249" s="6"/>
      <c r="J249" s="6"/>
      <c r="K249" s="6"/>
      <c r="L249" s="7"/>
      <c r="M249" s="6"/>
      <c r="N249" s="6"/>
      <c r="O249" s="6">
        <f t="shared" si="10"/>
        <v>0</v>
      </c>
      <c r="P249" s="6"/>
      <c r="Q249" s="6"/>
      <c r="R249" s="6">
        <f t="shared" si="12"/>
        <v>0</v>
      </c>
      <c r="S249" s="6"/>
      <c r="T249" s="6"/>
      <c r="U249" s="6">
        <f t="shared" si="11"/>
        <v>0</v>
      </c>
    </row>
    <row r="250" spans="1:21" hidden="1" x14ac:dyDescent="0.2">
      <c r="A250" s="6" t="s">
        <v>341</v>
      </c>
      <c r="B250" s="6" t="s">
        <v>342</v>
      </c>
      <c r="C250" s="6" t="s">
        <v>342</v>
      </c>
      <c r="D250" s="6" t="s">
        <v>342</v>
      </c>
      <c r="E250" s="6"/>
      <c r="F250" s="6">
        <v>248</v>
      </c>
      <c r="G250" s="6"/>
      <c r="H250" s="6"/>
      <c r="I250" s="6"/>
      <c r="J250" s="6"/>
      <c r="K250" s="6"/>
      <c r="L250" s="7"/>
      <c r="M250" s="6"/>
      <c r="N250" s="6"/>
      <c r="O250" s="6">
        <f t="shared" si="10"/>
        <v>0</v>
      </c>
      <c r="P250" s="6"/>
      <c r="Q250" s="6"/>
      <c r="R250" s="6">
        <f t="shared" si="12"/>
        <v>0</v>
      </c>
      <c r="S250" s="6"/>
      <c r="T250" s="6"/>
      <c r="U250" s="6">
        <f t="shared" si="11"/>
        <v>0</v>
      </c>
    </row>
    <row r="251" spans="1:21" hidden="1" x14ac:dyDescent="0.2">
      <c r="A251" s="6" t="s">
        <v>341</v>
      </c>
      <c r="B251" s="6" t="s">
        <v>342</v>
      </c>
      <c r="C251" s="6" t="s">
        <v>342</v>
      </c>
      <c r="D251" s="6" t="s">
        <v>342</v>
      </c>
      <c r="E251" s="6"/>
      <c r="F251" s="6">
        <v>249</v>
      </c>
      <c r="G251" s="6"/>
      <c r="H251" s="6"/>
      <c r="I251" s="6"/>
      <c r="J251" s="6"/>
      <c r="K251" s="6"/>
      <c r="L251" s="7"/>
      <c r="M251" s="6"/>
      <c r="N251" s="6"/>
      <c r="O251" s="6">
        <f t="shared" si="10"/>
        <v>0</v>
      </c>
      <c r="P251" s="6"/>
      <c r="Q251" s="6"/>
      <c r="R251" s="6">
        <f t="shared" si="12"/>
        <v>0</v>
      </c>
      <c r="S251" s="6"/>
      <c r="T251" s="6"/>
      <c r="U251" s="6">
        <f t="shared" si="11"/>
        <v>0</v>
      </c>
    </row>
    <row r="252" spans="1:21" hidden="1" x14ac:dyDescent="0.2">
      <c r="A252" s="6" t="s">
        <v>341</v>
      </c>
      <c r="B252" s="6" t="s">
        <v>342</v>
      </c>
      <c r="C252" s="6" t="s">
        <v>342</v>
      </c>
      <c r="D252" s="6" t="s">
        <v>342</v>
      </c>
      <c r="E252" s="6"/>
      <c r="F252" s="6">
        <v>250</v>
      </c>
      <c r="G252" s="6"/>
      <c r="H252" s="6"/>
      <c r="I252" s="6"/>
      <c r="J252" s="6"/>
      <c r="K252" s="6"/>
      <c r="L252" s="7"/>
      <c r="M252" s="6"/>
      <c r="N252" s="6"/>
      <c r="O252" s="6">
        <f t="shared" si="10"/>
        <v>0</v>
      </c>
      <c r="P252" s="6"/>
      <c r="Q252" s="6"/>
      <c r="R252" s="6">
        <f t="shared" si="12"/>
        <v>0</v>
      </c>
      <c r="S252" s="6"/>
      <c r="T252" s="6"/>
      <c r="U252" s="6">
        <f t="shared" si="11"/>
        <v>0</v>
      </c>
    </row>
    <row r="253" spans="1:21" x14ac:dyDescent="0.2">
      <c r="A253" s="6" t="s">
        <v>341</v>
      </c>
      <c r="B253" s="6" t="s">
        <v>342</v>
      </c>
      <c r="C253" s="6" t="s">
        <v>342</v>
      </c>
      <c r="D253" s="6" t="s">
        <v>342</v>
      </c>
      <c r="E253" s="6">
        <v>23</v>
      </c>
      <c r="F253" s="6">
        <v>251</v>
      </c>
      <c r="G253" s="6" t="s">
        <v>352</v>
      </c>
      <c r="H253" s="6" t="s">
        <v>136</v>
      </c>
      <c r="I253" s="6">
        <v>2</v>
      </c>
      <c r="J253" s="6">
        <v>1</v>
      </c>
      <c r="K253" s="6" t="s">
        <v>353</v>
      </c>
      <c r="L253" s="12">
        <v>161162</v>
      </c>
      <c r="M253" s="6">
        <v>6802993</v>
      </c>
      <c r="N253" s="6">
        <v>6805605</v>
      </c>
      <c r="O253" s="6">
        <f t="shared" si="10"/>
        <v>2612</v>
      </c>
      <c r="P253" s="6">
        <f>N253</f>
        <v>6805605</v>
      </c>
      <c r="Q253" s="6">
        <f>S253</f>
        <v>6810875</v>
      </c>
      <c r="R253" s="6">
        <f t="shared" si="12"/>
        <v>5270</v>
      </c>
      <c r="S253" s="6">
        <v>6810875</v>
      </c>
      <c r="T253" s="6">
        <v>6812525</v>
      </c>
      <c r="U253" s="6">
        <f t="shared" si="11"/>
        <v>1650</v>
      </c>
    </row>
    <row r="254" spans="1:21" x14ac:dyDescent="0.2">
      <c r="A254" s="6" t="s">
        <v>341</v>
      </c>
      <c r="B254" s="6" t="s">
        <v>342</v>
      </c>
      <c r="C254" s="6" t="s">
        <v>342</v>
      </c>
      <c r="D254" s="6" t="s">
        <v>342</v>
      </c>
      <c r="E254" s="6">
        <v>22</v>
      </c>
      <c r="F254" s="6">
        <v>252</v>
      </c>
      <c r="G254" s="6" t="s">
        <v>352</v>
      </c>
      <c r="H254" s="6" t="s">
        <v>136</v>
      </c>
      <c r="I254" s="6">
        <v>2</v>
      </c>
      <c r="J254" s="6">
        <v>1</v>
      </c>
      <c r="K254" s="6" t="s">
        <v>353</v>
      </c>
      <c r="L254" s="7">
        <v>162</v>
      </c>
      <c r="M254" s="6">
        <v>6817116</v>
      </c>
      <c r="N254" s="6">
        <v>6819723</v>
      </c>
      <c r="O254" s="6">
        <f t="shared" si="10"/>
        <v>2607</v>
      </c>
      <c r="P254" s="6">
        <f>N254</f>
        <v>6819723</v>
      </c>
      <c r="Q254" s="6">
        <f>S254</f>
        <v>6825205</v>
      </c>
      <c r="R254" s="6">
        <f t="shared" si="12"/>
        <v>5482</v>
      </c>
      <c r="S254" s="6">
        <v>6825205</v>
      </c>
      <c r="T254" s="6">
        <v>6826862</v>
      </c>
      <c r="U254" s="6">
        <f t="shared" si="11"/>
        <v>1657</v>
      </c>
    </row>
    <row r="255" spans="1:21" x14ac:dyDescent="0.2">
      <c r="A255" s="6" t="s">
        <v>341</v>
      </c>
      <c r="B255" s="6" t="s">
        <v>342</v>
      </c>
      <c r="C255" s="6" t="s">
        <v>342</v>
      </c>
      <c r="D255" s="6" t="s">
        <v>342</v>
      </c>
      <c r="E255" s="6">
        <v>22</v>
      </c>
      <c r="F255" s="6">
        <v>253</v>
      </c>
      <c r="G255" s="6" t="s">
        <v>352</v>
      </c>
      <c r="H255" s="6" t="s">
        <v>136</v>
      </c>
      <c r="I255" s="6">
        <v>2</v>
      </c>
      <c r="J255" s="6">
        <v>1</v>
      </c>
      <c r="K255" s="6" t="s">
        <v>353</v>
      </c>
      <c r="L255" s="12">
        <v>163164</v>
      </c>
      <c r="M255" s="6">
        <v>6831411</v>
      </c>
      <c r="N255" s="6">
        <v>6834018</v>
      </c>
      <c r="O255" s="6">
        <f t="shared" si="10"/>
        <v>2607</v>
      </c>
      <c r="P255" s="6">
        <f>N255</f>
        <v>6834018</v>
      </c>
      <c r="Q255" s="6">
        <f>S255</f>
        <v>6839526</v>
      </c>
      <c r="R255" s="6">
        <f t="shared" si="12"/>
        <v>5508</v>
      </c>
      <c r="S255" s="6">
        <v>6839526</v>
      </c>
      <c r="T255" s="6">
        <v>6841179</v>
      </c>
      <c r="U255" s="6">
        <f t="shared" si="11"/>
        <v>1653</v>
      </c>
    </row>
    <row r="256" spans="1:21" x14ac:dyDescent="0.2">
      <c r="A256" s="6" t="s">
        <v>341</v>
      </c>
      <c r="B256" s="6" t="s">
        <v>342</v>
      </c>
      <c r="C256" s="6" t="s">
        <v>342</v>
      </c>
      <c r="D256" s="6" t="s">
        <v>342</v>
      </c>
      <c r="E256" s="6">
        <v>22</v>
      </c>
      <c r="F256" s="6">
        <v>254</v>
      </c>
      <c r="G256" s="6" t="s">
        <v>352</v>
      </c>
      <c r="H256" s="6" t="s">
        <v>136</v>
      </c>
      <c r="I256" s="6">
        <v>2</v>
      </c>
      <c r="J256" s="6">
        <v>1</v>
      </c>
      <c r="K256" s="6" t="s">
        <v>353</v>
      </c>
      <c r="L256" s="12">
        <v>163164</v>
      </c>
      <c r="M256" s="6">
        <v>6845768</v>
      </c>
      <c r="N256" s="6">
        <v>6848369</v>
      </c>
      <c r="O256" s="6">
        <f t="shared" si="10"/>
        <v>2601</v>
      </c>
      <c r="P256" s="6">
        <f>N256</f>
        <v>6848369</v>
      </c>
      <c r="Q256" s="6">
        <f>S256</f>
        <v>6854083</v>
      </c>
      <c r="R256" s="6">
        <f t="shared" si="12"/>
        <v>5714</v>
      </c>
      <c r="S256" s="6">
        <v>6854083</v>
      </c>
      <c r="T256" s="6">
        <v>6855702</v>
      </c>
      <c r="U256" s="6">
        <f t="shared" si="11"/>
        <v>1619</v>
      </c>
    </row>
    <row r="257" spans="1:21" hidden="1" x14ac:dyDescent="0.2">
      <c r="A257" s="6" t="s">
        <v>341</v>
      </c>
      <c r="B257" s="6" t="s">
        <v>342</v>
      </c>
      <c r="C257" s="6" t="s">
        <v>342</v>
      </c>
      <c r="D257" s="6" t="s">
        <v>342</v>
      </c>
      <c r="E257" s="6"/>
      <c r="F257" s="6">
        <v>255</v>
      </c>
      <c r="G257" s="6"/>
      <c r="H257" s="6"/>
      <c r="I257" s="6"/>
      <c r="J257" s="6"/>
      <c r="K257" s="6"/>
      <c r="L257" s="7"/>
      <c r="M257" s="6"/>
      <c r="N257" s="6"/>
      <c r="O257" s="6">
        <f t="shared" si="10"/>
        <v>0</v>
      </c>
      <c r="P257" s="6"/>
      <c r="Q257" s="6"/>
      <c r="R257" s="6">
        <f t="shared" si="12"/>
        <v>0</v>
      </c>
      <c r="S257" s="6"/>
      <c r="T257" s="6"/>
      <c r="U257" s="6">
        <f t="shared" si="11"/>
        <v>0</v>
      </c>
    </row>
    <row r="258" spans="1:21" hidden="1" x14ac:dyDescent="0.2">
      <c r="A258" s="6" t="s">
        <v>341</v>
      </c>
      <c r="B258" s="6" t="s">
        <v>342</v>
      </c>
      <c r="C258" s="6" t="s">
        <v>342</v>
      </c>
      <c r="D258" s="6" t="s">
        <v>342</v>
      </c>
      <c r="E258" s="6"/>
      <c r="F258" s="6">
        <v>256</v>
      </c>
      <c r="G258" s="6"/>
      <c r="H258" s="6"/>
      <c r="I258" s="6"/>
      <c r="J258" s="6"/>
      <c r="K258" s="6"/>
      <c r="L258" s="7"/>
      <c r="M258" s="6"/>
      <c r="N258" s="6"/>
      <c r="O258" s="6">
        <f t="shared" si="10"/>
        <v>0</v>
      </c>
      <c r="P258" s="6"/>
      <c r="Q258" s="6"/>
      <c r="R258" s="6">
        <f t="shared" si="12"/>
        <v>0</v>
      </c>
      <c r="S258" s="6"/>
      <c r="T258" s="6"/>
      <c r="U258" s="6">
        <f t="shared" si="11"/>
        <v>0</v>
      </c>
    </row>
    <row r="259" spans="1:21" hidden="1" x14ac:dyDescent="0.2">
      <c r="A259" s="6" t="s">
        <v>341</v>
      </c>
      <c r="B259" s="6" t="s">
        <v>342</v>
      </c>
      <c r="C259" s="6" t="s">
        <v>342</v>
      </c>
      <c r="D259" s="6" t="s">
        <v>342</v>
      </c>
      <c r="E259" s="6"/>
      <c r="F259" s="6">
        <v>257</v>
      </c>
      <c r="G259" s="6"/>
      <c r="H259" s="6"/>
      <c r="I259" s="6"/>
      <c r="J259" s="6"/>
      <c r="K259" s="6"/>
      <c r="L259" s="7"/>
      <c r="M259" s="6"/>
      <c r="N259" s="6"/>
      <c r="O259" s="6">
        <f t="shared" ref="O259:O322" si="13">IFERROR(N259-M259,"")</f>
        <v>0</v>
      </c>
      <c r="P259" s="6"/>
      <c r="Q259" s="6"/>
      <c r="R259" s="6">
        <f t="shared" si="12"/>
        <v>0</v>
      </c>
      <c r="S259" s="6"/>
      <c r="T259" s="6"/>
      <c r="U259" s="6">
        <f t="shared" ref="U259:U322" si="14">IFERROR(T259-S259,"")</f>
        <v>0</v>
      </c>
    </row>
    <row r="260" spans="1:21" hidden="1" x14ac:dyDescent="0.2">
      <c r="A260" s="6" t="s">
        <v>341</v>
      </c>
      <c r="B260" s="6" t="s">
        <v>342</v>
      </c>
      <c r="C260" s="6" t="s">
        <v>342</v>
      </c>
      <c r="D260" s="6" t="s">
        <v>342</v>
      </c>
      <c r="E260" s="6"/>
      <c r="F260" s="6">
        <v>258</v>
      </c>
      <c r="G260" s="6"/>
      <c r="H260" s="6"/>
      <c r="I260" s="6"/>
      <c r="J260" s="6"/>
      <c r="K260" s="6"/>
      <c r="L260" s="7"/>
      <c r="M260" s="6"/>
      <c r="N260" s="6"/>
      <c r="O260" s="6">
        <f t="shared" si="13"/>
        <v>0</v>
      </c>
      <c r="P260" s="6"/>
      <c r="Q260" s="6"/>
      <c r="R260" s="6">
        <f t="shared" si="12"/>
        <v>0</v>
      </c>
      <c r="S260" s="6"/>
      <c r="T260" s="6"/>
      <c r="U260" s="6">
        <f t="shared" si="14"/>
        <v>0</v>
      </c>
    </row>
    <row r="261" spans="1:21" hidden="1" x14ac:dyDescent="0.2">
      <c r="A261" s="6" t="s">
        <v>341</v>
      </c>
      <c r="B261" s="6" t="s">
        <v>342</v>
      </c>
      <c r="C261" s="6" t="s">
        <v>342</v>
      </c>
      <c r="D261" s="6" t="s">
        <v>342</v>
      </c>
      <c r="E261" s="6"/>
      <c r="F261" s="6">
        <v>259</v>
      </c>
      <c r="G261" s="6"/>
      <c r="H261" s="6"/>
      <c r="I261" s="6"/>
      <c r="J261" s="6"/>
      <c r="K261" s="6"/>
      <c r="L261" s="7"/>
      <c r="M261" s="6"/>
      <c r="N261" s="6"/>
      <c r="O261" s="6">
        <f t="shared" si="13"/>
        <v>0</v>
      </c>
      <c r="P261" s="6"/>
      <c r="Q261" s="6"/>
      <c r="R261" s="6">
        <f t="shared" si="12"/>
        <v>0</v>
      </c>
      <c r="S261" s="6"/>
      <c r="T261" s="6"/>
      <c r="U261" s="6">
        <f t="shared" si="14"/>
        <v>0</v>
      </c>
    </row>
    <row r="262" spans="1:21" hidden="1" x14ac:dyDescent="0.2">
      <c r="A262" s="6" t="s">
        <v>341</v>
      </c>
      <c r="B262" s="6" t="s">
        <v>342</v>
      </c>
      <c r="C262" s="6" t="s">
        <v>342</v>
      </c>
      <c r="D262" s="6" t="s">
        <v>342</v>
      </c>
      <c r="E262" s="6"/>
      <c r="F262" s="6">
        <v>260</v>
      </c>
      <c r="G262" s="6"/>
      <c r="H262" s="6"/>
      <c r="I262" s="6"/>
      <c r="J262" s="6"/>
      <c r="K262" s="6"/>
      <c r="L262" s="7"/>
      <c r="M262" s="6"/>
      <c r="N262" s="6"/>
      <c r="O262" s="6">
        <f t="shared" si="13"/>
        <v>0</v>
      </c>
      <c r="P262" s="6"/>
      <c r="Q262" s="6"/>
      <c r="R262" s="6">
        <f t="shared" si="12"/>
        <v>0</v>
      </c>
      <c r="S262" s="6"/>
      <c r="T262" s="6"/>
      <c r="U262" s="6">
        <f t="shared" si="14"/>
        <v>0</v>
      </c>
    </row>
    <row r="263" spans="1:21" hidden="1" x14ac:dyDescent="0.2">
      <c r="A263" s="6" t="s">
        <v>341</v>
      </c>
      <c r="B263" s="6" t="s">
        <v>342</v>
      </c>
      <c r="C263" s="6" t="s">
        <v>342</v>
      </c>
      <c r="D263" s="6" t="s">
        <v>342</v>
      </c>
      <c r="E263" s="6"/>
      <c r="F263" s="6">
        <v>261</v>
      </c>
      <c r="G263" s="6"/>
      <c r="H263" s="6"/>
      <c r="I263" s="6"/>
      <c r="J263" s="6"/>
      <c r="K263" s="6"/>
      <c r="L263" s="7"/>
      <c r="M263" s="6"/>
      <c r="N263" s="6"/>
      <c r="O263" s="6">
        <f t="shared" si="13"/>
        <v>0</v>
      </c>
      <c r="P263" s="6"/>
      <c r="Q263" s="6"/>
      <c r="R263" s="6">
        <f t="shared" si="12"/>
        <v>0</v>
      </c>
      <c r="S263" s="6"/>
      <c r="T263" s="6"/>
      <c r="U263" s="6">
        <f t="shared" si="14"/>
        <v>0</v>
      </c>
    </row>
    <row r="264" spans="1:21" hidden="1" x14ac:dyDescent="0.2">
      <c r="A264" s="6" t="s">
        <v>341</v>
      </c>
      <c r="B264" s="6" t="s">
        <v>342</v>
      </c>
      <c r="C264" s="6" t="s">
        <v>342</v>
      </c>
      <c r="D264" s="6" t="s">
        <v>342</v>
      </c>
      <c r="E264" s="6"/>
      <c r="F264" s="6">
        <v>262</v>
      </c>
      <c r="G264" s="6"/>
      <c r="H264" s="6"/>
      <c r="I264" s="6"/>
      <c r="J264" s="6"/>
      <c r="K264" s="6"/>
      <c r="L264" s="7"/>
      <c r="M264" s="6"/>
      <c r="N264" s="6"/>
      <c r="O264" s="6">
        <f t="shared" si="13"/>
        <v>0</v>
      </c>
      <c r="P264" s="6"/>
      <c r="Q264" s="6"/>
      <c r="R264" s="6">
        <f t="shared" si="12"/>
        <v>0</v>
      </c>
      <c r="S264" s="6"/>
      <c r="T264" s="6"/>
      <c r="U264" s="6">
        <f t="shared" si="14"/>
        <v>0</v>
      </c>
    </row>
    <row r="265" spans="1:21" hidden="1" x14ac:dyDescent="0.2">
      <c r="A265" s="6" t="s">
        <v>341</v>
      </c>
      <c r="B265" s="6" t="s">
        <v>342</v>
      </c>
      <c r="C265" s="6" t="s">
        <v>342</v>
      </c>
      <c r="D265" s="6" t="s">
        <v>342</v>
      </c>
      <c r="E265" s="6"/>
      <c r="F265" s="6">
        <v>263</v>
      </c>
      <c r="G265" s="6"/>
      <c r="H265" s="6"/>
      <c r="I265" s="6"/>
      <c r="J265" s="6"/>
      <c r="K265" s="6"/>
      <c r="L265" s="7"/>
      <c r="M265" s="6"/>
      <c r="N265" s="6"/>
      <c r="O265" s="6">
        <f t="shared" si="13"/>
        <v>0</v>
      </c>
      <c r="P265" s="6"/>
      <c r="Q265" s="6"/>
      <c r="R265" s="6">
        <f t="shared" si="12"/>
        <v>0</v>
      </c>
      <c r="S265" s="6"/>
      <c r="T265" s="6"/>
      <c r="U265" s="6">
        <f t="shared" si="14"/>
        <v>0</v>
      </c>
    </row>
    <row r="266" spans="1:21" hidden="1" x14ac:dyDescent="0.2">
      <c r="A266" s="6" t="s">
        <v>341</v>
      </c>
      <c r="B266" s="6" t="s">
        <v>342</v>
      </c>
      <c r="C266" s="6" t="s">
        <v>342</v>
      </c>
      <c r="D266" s="6" t="s">
        <v>342</v>
      </c>
      <c r="E266" s="6"/>
      <c r="F266" s="6">
        <v>264</v>
      </c>
      <c r="G266" s="6"/>
      <c r="H266" s="6"/>
      <c r="I266" s="6"/>
      <c r="J266" s="6"/>
      <c r="K266" s="6"/>
      <c r="L266" s="7"/>
      <c r="M266" s="6"/>
      <c r="N266" s="6"/>
      <c r="O266" s="6">
        <f t="shared" si="13"/>
        <v>0</v>
      </c>
      <c r="P266" s="6"/>
      <c r="Q266" s="6"/>
      <c r="R266" s="6">
        <f t="shared" si="12"/>
        <v>0</v>
      </c>
      <c r="S266" s="6"/>
      <c r="T266" s="6"/>
      <c r="U266" s="6">
        <f t="shared" si="14"/>
        <v>0</v>
      </c>
    </row>
    <row r="267" spans="1:21" hidden="1" x14ac:dyDescent="0.2">
      <c r="A267" s="6" t="s">
        <v>341</v>
      </c>
      <c r="B267" s="6" t="s">
        <v>342</v>
      </c>
      <c r="C267" s="6" t="s">
        <v>342</v>
      </c>
      <c r="D267" s="6" t="s">
        <v>342</v>
      </c>
      <c r="E267" s="6"/>
      <c r="F267" s="6">
        <v>265</v>
      </c>
      <c r="G267" s="6"/>
      <c r="H267" s="6"/>
      <c r="I267" s="6"/>
      <c r="J267" s="6"/>
      <c r="K267" s="6"/>
      <c r="L267" s="7"/>
      <c r="M267" s="6"/>
      <c r="N267" s="6"/>
      <c r="O267" s="6">
        <f t="shared" si="13"/>
        <v>0</v>
      </c>
      <c r="P267" s="6"/>
      <c r="Q267" s="6"/>
      <c r="R267" s="6">
        <f t="shared" si="12"/>
        <v>0</v>
      </c>
      <c r="S267" s="6"/>
      <c r="T267" s="6"/>
      <c r="U267" s="6">
        <f t="shared" si="14"/>
        <v>0</v>
      </c>
    </row>
    <row r="268" spans="1:21" hidden="1" x14ac:dyDescent="0.2">
      <c r="A268" s="6" t="s">
        <v>341</v>
      </c>
      <c r="B268" s="6" t="s">
        <v>342</v>
      </c>
      <c r="C268" s="6" t="s">
        <v>342</v>
      </c>
      <c r="D268" s="6" t="s">
        <v>342</v>
      </c>
      <c r="E268" s="6"/>
      <c r="F268" s="6">
        <v>266</v>
      </c>
      <c r="G268" s="6"/>
      <c r="H268" s="6"/>
      <c r="I268" s="6"/>
      <c r="J268" s="6"/>
      <c r="K268" s="6"/>
      <c r="L268" s="7"/>
      <c r="M268" s="6"/>
      <c r="N268" s="6"/>
      <c r="O268" s="6">
        <f t="shared" si="13"/>
        <v>0</v>
      </c>
      <c r="P268" s="6"/>
      <c r="Q268" s="6"/>
      <c r="R268" s="6">
        <f t="shared" si="12"/>
        <v>0</v>
      </c>
      <c r="S268" s="6"/>
      <c r="T268" s="6"/>
      <c r="U268" s="6">
        <f t="shared" si="14"/>
        <v>0</v>
      </c>
    </row>
    <row r="269" spans="1:21" hidden="1" x14ac:dyDescent="0.2">
      <c r="A269" s="6" t="s">
        <v>341</v>
      </c>
      <c r="B269" s="6" t="s">
        <v>342</v>
      </c>
      <c r="C269" s="6" t="s">
        <v>342</v>
      </c>
      <c r="D269" s="6" t="s">
        <v>342</v>
      </c>
      <c r="E269" s="6"/>
      <c r="F269" s="6">
        <v>267</v>
      </c>
      <c r="G269" s="6"/>
      <c r="H269" s="6"/>
      <c r="I269" s="6"/>
      <c r="J269" s="6"/>
      <c r="K269" s="6"/>
      <c r="L269" s="7"/>
      <c r="M269" s="6"/>
      <c r="N269" s="6"/>
      <c r="O269" s="6">
        <f t="shared" si="13"/>
        <v>0</v>
      </c>
      <c r="P269" s="6"/>
      <c r="Q269" s="6"/>
      <c r="R269" s="6">
        <f t="shared" si="12"/>
        <v>0</v>
      </c>
      <c r="S269" s="6"/>
      <c r="T269" s="6"/>
      <c r="U269" s="6">
        <f t="shared" si="14"/>
        <v>0</v>
      </c>
    </row>
    <row r="270" spans="1:21" hidden="1" x14ac:dyDescent="0.2">
      <c r="A270" s="6" t="s">
        <v>341</v>
      </c>
      <c r="B270" s="6" t="s">
        <v>342</v>
      </c>
      <c r="C270" s="6" t="s">
        <v>342</v>
      </c>
      <c r="D270" s="6" t="s">
        <v>342</v>
      </c>
      <c r="E270" s="6"/>
      <c r="F270" s="6">
        <v>268</v>
      </c>
      <c r="G270" s="6"/>
      <c r="H270" s="6"/>
      <c r="I270" s="6"/>
      <c r="J270" s="6"/>
      <c r="K270" s="6"/>
      <c r="L270" s="7"/>
      <c r="M270" s="6"/>
      <c r="N270" s="6"/>
      <c r="O270" s="6">
        <f t="shared" si="13"/>
        <v>0</v>
      </c>
      <c r="P270" s="6"/>
      <c r="Q270" s="6"/>
      <c r="R270" s="6">
        <f t="shared" si="12"/>
        <v>0</v>
      </c>
      <c r="S270" s="6"/>
      <c r="T270" s="6"/>
      <c r="U270" s="6">
        <f t="shared" si="14"/>
        <v>0</v>
      </c>
    </row>
    <row r="271" spans="1:21" hidden="1" x14ac:dyDescent="0.2">
      <c r="A271" s="6" t="s">
        <v>341</v>
      </c>
      <c r="B271" s="6" t="s">
        <v>342</v>
      </c>
      <c r="C271" s="6" t="s">
        <v>342</v>
      </c>
      <c r="D271" s="6" t="s">
        <v>342</v>
      </c>
      <c r="E271" s="6"/>
      <c r="F271" s="6">
        <v>269</v>
      </c>
      <c r="G271" s="6"/>
      <c r="H271" s="6"/>
      <c r="I271" s="6"/>
      <c r="J271" s="6"/>
      <c r="K271" s="6"/>
      <c r="L271" s="7"/>
      <c r="M271" s="6"/>
      <c r="N271" s="6"/>
      <c r="O271" s="6">
        <f t="shared" si="13"/>
        <v>0</v>
      </c>
      <c r="P271" s="6"/>
      <c r="Q271" s="6"/>
      <c r="R271" s="6">
        <f t="shared" si="12"/>
        <v>0</v>
      </c>
      <c r="S271" s="6"/>
      <c r="T271" s="6"/>
      <c r="U271" s="6">
        <f t="shared" si="14"/>
        <v>0</v>
      </c>
    </row>
    <row r="272" spans="1:21" hidden="1" x14ac:dyDescent="0.2">
      <c r="A272" s="6" t="s">
        <v>341</v>
      </c>
      <c r="B272" s="6" t="s">
        <v>342</v>
      </c>
      <c r="C272" s="6" t="s">
        <v>342</v>
      </c>
      <c r="D272" s="6" t="s">
        <v>342</v>
      </c>
      <c r="E272" s="6"/>
      <c r="F272" s="6">
        <v>270</v>
      </c>
      <c r="G272" s="6"/>
      <c r="H272" s="6"/>
      <c r="I272" s="6"/>
      <c r="J272" s="6"/>
      <c r="K272" s="6"/>
      <c r="L272" s="7"/>
      <c r="M272" s="6"/>
      <c r="N272" s="6"/>
      <c r="O272" s="6">
        <f t="shared" si="13"/>
        <v>0</v>
      </c>
      <c r="P272" s="6"/>
      <c r="Q272" s="6"/>
      <c r="R272" s="6">
        <f t="shared" si="12"/>
        <v>0</v>
      </c>
      <c r="S272" s="6"/>
      <c r="T272" s="6"/>
      <c r="U272" s="6">
        <f t="shared" si="14"/>
        <v>0</v>
      </c>
    </row>
    <row r="273" spans="1:21" hidden="1" x14ac:dyDescent="0.2">
      <c r="A273" s="6" t="s">
        <v>341</v>
      </c>
      <c r="B273" s="6" t="s">
        <v>342</v>
      </c>
      <c r="C273" s="6" t="s">
        <v>342</v>
      </c>
      <c r="D273" s="6" t="s">
        <v>342</v>
      </c>
      <c r="E273" s="6"/>
      <c r="F273" s="6">
        <v>271</v>
      </c>
      <c r="G273" s="6"/>
      <c r="H273" s="6"/>
      <c r="I273" s="6"/>
      <c r="J273" s="6"/>
      <c r="K273" s="6"/>
      <c r="L273" s="7"/>
      <c r="M273" s="6"/>
      <c r="N273" s="6"/>
      <c r="O273" s="6">
        <f t="shared" si="13"/>
        <v>0</v>
      </c>
      <c r="P273" s="6"/>
      <c r="Q273" s="6"/>
      <c r="R273" s="6">
        <f t="shared" si="12"/>
        <v>0</v>
      </c>
      <c r="S273" s="6"/>
      <c r="T273" s="6"/>
      <c r="U273" s="6">
        <f t="shared" si="14"/>
        <v>0</v>
      </c>
    </row>
    <row r="274" spans="1:21" hidden="1" x14ac:dyDescent="0.2">
      <c r="A274" s="6" t="s">
        <v>341</v>
      </c>
      <c r="B274" s="6" t="s">
        <v>342</v>
      </c>
      <c r="C274" s="6" t="s">
        <v>342</v>
      </c>
      <c r="D274" s="6" t="s">
        <v>342</v>
      </c>
      <c r="E274" s="6"/>
      <c r="F274" s="6">
        <v>272</v>
      </c>
      <c r="G274" s="6"/>
      <c r="H274" s="6"/>
      <c r="I274" s="6"/>
      <c r="J274" s="6"/>
      <c r="K274" s="6"/>
      <c r="L274" s="7"/>
      <c r="M274" s="6"/>
      <c r="N274" s="6"/>
      <c r="O274" s="6">
        <f t="shared" si="13"/>
        <v>0</v>
      </c>
      <c r="P274" s="6"/>
      <c r="Q274" s="6"/>
      <c r="R274" s="6">
        <f t="shared" si="12"/>
        <v>0</v>
      </c>
      <c r="S274" s="6"/>
      <c r="T274" s="6"/>
      <c r="U274" s="6">
        <f t="shared" si="14"/>
        <v>0</v>
      </c>
    </row>
    <row r="275" spans="1:21" hidden="1" x14ac:dyDescent="0.2">
      <c r="A275" s="6" t="s">
        <v>341</v>
      </c>
      <c r="B275" s="6" t="s">
        <v>342</v>
      </c>
      <c r="C275" s="6" t="s">
        <v>342</v>
      </c>
      <c r="D275" s="6" t="s">
        <v>342</v>
      </c>
      <c r="E275" s="6"/>
      <c r="F275" s="6">
        <v>273</v>
      </c>
      <c r="G275" s="6"/>
      <c r="H275" s="6"/>
      <c r="I275" s="6"/>
      <c r="J275" s="6"/>
      <c r="K275" s="6"/>
      <c r="L275" s="7"/>
      <c r="M275" s="6"/>
      <c r="N275" s="6"/>
      <c r="O275" s="6">
        <f t="shared" si="13"/>
        <v>0</v>
      </c>
      <c r="P275" s="6"/>
      <c r="Q275" s="6"/>
      <c r="R275" s="6">
        <f t="shared" si="12"/>
        <v>0</v>
      </c>
      <c r="S275" s="6"/>
      <c r="T275" s="6"/>
      <c r="U275" s="6">
        <f t="shared" si="14"/>
        <v>0</v>
      </c>
    </row>
    <row r="276" spans="1:21" hidden="1" x14ac:dyDescent="0.2">
      <c r="A276" s="6" t="s">
        <v>341</v>
      </c>
      <c r="B276" s="6" t="s">
        <v>342</v>
      </c>
      <c r="C276" s="6" t="s">
        <v>342</v>
      </c>
      <c r="D276" s="6" t="s">
        <v>342</v>
      </c>
      <c r="E276" s="6"/>
      <c r="F276" s="6">
        <v>274</v>
      </c>
      <c r="G276" s="6"/>
      <c r="H276" s="6"/>
      <c r="I276" s="6"/>
      <c r="J276" s="6"/>
      <c r="K276" s="6"/>
      <c r="L276" s="7"/>
      <c r="M276" s="6"/>
      <c r="N276" s="6"/>
      <c r="O276" s="6">
        <f t="shared" si="13"/>
        <v>0</v>
      </c>
      <c r="P276" s="6"/>
      <c r="Q276" s="6"/>
      <c r="R276" s="6">
        <f t="shared" si="12"/>
        <v>0</v>
      </c>
      <c r="S276" s="6"/>
      <c r="T276" s="6"/>
      <c r="U276" s="6">
        <f t="shared" si="14"/>
        <v>0</v>
      </c>
    </row>
    <row r="277" spans="1:21" hidden="1" x14ac:dyDescent="0.2">
      <c r="A277" s="6" t="s">
        <v>341</v>
      </c>
      <c r="B277" s="6" t="s">
        <v>342</v>
      </c>
      <c r="C277" s="6" t="s">
        <v>342</v>
      </c>
      <c r="D277" s="6" t="s">
        <v>342</v>
      </c>
      <c r="E277" s="6"/>
      <c r="F277" s="6">
        <v>275</v>
      </c>
      <c r="G277" s="6"/>
      <c r="H277" s="6"/>
      <c r="I277" s="6"/>
      <c r="J277" s="6"/>
      <c r="K277" s="6"/>
      <c r="L277" s="7"/>
      <c r="M277" s="6"/>
      <c r="N277" s="6"/>
      <c r="O277" s="6">
        <f t="shared" si="13"/>
        <v>0</v>
      </c>
      <c r="P277" s="6"/>
      <c r="Q277" s="6"/>
      <c r="R277" s="6">
        <f t="shared" si="12"/>
        <v>0</v>
      </c>
      <c r="S277" s="6"/>
      <c r="T277" s="6"/>
      <c r="U277" s="6">
        <f t="shared" si="14"/>
        <v>0</v>
      </c>
    </row>
    <row r="278" spans="1:21" hidden="1" x14ac:dyDescent="0.2">
      <c r="A278" s="6" t="s">
        <v>341</v>
      </c>
      <c r="B278" s="6" t="s">
        <v>342</v>
      </c>
      <c r="C278" s="6" t="s">
        <v>342</v>
      </c>
      <c r="D278" s="6" t="s">
        <v>342</v>
      </c>
      <c r="E278" s="6"/>
      <c r="F278" s="6">
        <v>276</v>
      </c>
      <c r="G278" s="6"/>
      <c r="H278" s="6"/>
      <c r="I278" s="6"/>
      <c r="J278" s="6"/>
      <c r="K278" s="6"/>
      <c r="L278" s="7"/>
      <c r="M278" s="6"/>
      <c r="N278" s="6"/>
      <c r="O278" s="6">
        <f t="shared" si="13"/>
        <v>0</v>
      </c>
      <c r="P278" s="6"/>
      <c r="Q278" s="6"/>
      <c r="R278" s="6">
        <f t="shared" si="12"/>
        <v>0</v>
      </c>
      <c r="S278" s="6"/>
      <c r="T278" s="6"/>
      <c r="U278" s="6">
        <f t="shared" si="14"/>
        <v>0</v>
      </c>
    </row>
    <row r="279" spans="1:21" hidden="1" x14ac:dyDescent="0.2">
      <c r="A279" s="6" t="s">
        <v>341</v>
      </c>
      <c r="B279" s="6" t="s">
        <v>342</v>
      </c>
      <c r="C279" s="6" t="s">
        <v>342</v>
      </c>
      <c r="D279" s="6" t="s">
        <v>342</v>
      </c>
      <c r="E279" s="6"/>
      <c r="F279" s="6">
        <v>277</v>
      </c>
      <c r="G279" s="6"/>
      <c r="H279" s="6"/>
      <c r="I279" s="6"/>
      <c r="J279" s="6"/>
      <c r="K279" s="6"/>
      <c r="L279" s="7"/>
      <c r="M279" s="6"/>
      <c r="N279" s="6"/>
      <c r="O279" s="6">
        <f t="shared" si="13"/>
        <v>0</v>
      </c>
      <c r="P279" s="6"/>
      <c r="Q279" s="6"/>
      <c r="R279" s="6">
        <f t="shared" si="12"/>
        <v>0</v>
      </c>
      <c r="S279" s="6"/>
      <c r="T279" s="6"/>
      <c r="U279" s="6">
        <f t="shared" si="14"/>
        <v>0</v>
      </c>
    </row>
    <row r="280" spans="1:21" hidden="1" x14ac:dyDescent="0.2">
      <c r="A280" s="6" t="s">
        <v>341</v>
      </c>
      <c r="B280" s="6" t="s">
        <v>342</v>
      </c>
      <c r="C280" s="6" t="s">
        <v>342</v>
      </c>
      <c r="D280" s="6" t="s">
        <v>342</v>
      </c>
      <c r="E280" s="6"/>
      <c r="F280" s="6">
        <v>278</v>
      </c>
      <c r="G280" s="6"/>
      <c r="H280" s="6"/>
      <c r="I280" s="6"/>
      <c r="J280" s="6"/>
      <c r="K280" s="6"/>
      <c r="L280" s="7"/>
      <c r="M280" s="6"/>
      <c r="N280" s="6"/>
      <c r="O280" s="6">
        <f t="shared" si="13"/>
        <v>0</v>
      </c>
      <c r="P280" s="6"/>
      <c r="Q280" s="6"/>
      <c r="R280" s="6">
        <f t="shared" si="12"/>
        <v>0</v>
      </c>
      <c r="S280" s="6"/>
      <c r="T280" s="6"/>
      <c r="U280" s="6">
        <f t="shared" si="14"/>
        <v>0</v>
      </c>
    </row>
    <row r="281" spans="1:21" hidden="1" x14ac:dyDescent="0.2">
      <c r="A281" s="6" t="s">
        <v>341</v>
      </c>
      <c r="B281" s="6" t="s">
        <v>342</v>
      </c>
      <c r="C281" s="6" t="s">
        <v>342</v>
      </c>
      <c r="D281" s="6" t="s">
        <v>342</v>
      </c>
      <c r="E281" s="6"/>
      <c r="F281" s="6">
        <v>279</v>
      </c>
      <c r="G281" s="6"/>
      <c r="H281" s="6"/>
      <c r="I281" s="6"/>
      <c r="J281" s="6"/>
      <c r="K281" s="6"/>
      <c r="L281" s="7"/>
      <c r="M281" s="6"/>
      <c r="N281" s="6"/>
      <c r="O281" s="6">
        <f t="shared" si="13"/>
        <v>0</v>
      </c>
      <c r="P281" s="6"/>
      <c r="Q281" s="6"/>
      <c r="R281" s="6">
        <f t="shared" ref="R281:R344" si="15">IFERROR(Q281-P281,"")</f>
        <v>0</v>
      </c>
      <c r="S281" s="6"/>
      <c r="T281" s="6"/>
      <c r="U281" s="6">
        <f t="shared" si="14"/>
        <v>0</v>
      </c>
    </row>
    <row r="282" spans="1:21" hidden="1" x14ac:dyDescent="0.2">
      <c r="A282" s="6" t="s">
        <v>341</v>
      </c>
      <c r="B282" s="6" t="s">
        <v>342</v>
      </c>
      <c r="C282" s="6" t="s">
        <v>342</v>
      </c>
      <c r="D282" s="6" t="s">
        <v>342</v>
      </c>
      <c r="E282" s="6"/>
      <c r="F282" s="6">
        <v>280</v>
      </c>
      <c r="G282" s="6"/>
      <c r="H282" s="6"/>
      <c r="I282" s="6"/>
      <c r="J282" s="6"/>
      <c r="K282" s="6"/>
      <c r="L282" s="7"/>
      <c r="M282" s="6"/>
      <c r="N282" s="6"/>
      <c r="O282" s="6">
        <f t="shared" si="13"/>
        <v>0</v>
      </c>
      <c r="P282" s="6"/>
      <c r="Q282" s="6"/>
      <c r="R282" s="6">
        <f t="shared" si="15"/>
        <v>0</v>
      </c>
      <c r="S282" s="6"/>
      <c r="T282" s="6"/>
      <c r="U282" s="6">
        <f t="shared" si="14"/>
        <v>0</v>
      </c>
    </row>
    <row r="283" spans="1:21" hidden="1" x14ac:dyDescent="0.2">
      <c r="A283" s="6" t="s">
        <v>341</v>
      </c>
      <c r="B283" s="6" t="s">
        <v>342</v>
      </c>
      <c r="C283" s="6" t="s">
        <v>342</v>
      </c>
      <c r="D283" s="6" t="s">
        <v>342</v>
      </c>
      <c r="E283" s="6"/>
      <c r="F283" s="6">
        <v>281</v>
      </c>
      <c r="G283" s="6"/>
      <c r="H283" s="6"/>
      <c r="I283" s="6"/>
      <c r="J283" s="6"/>
      <c r="K283" s="6"/>
      <c r="L283" s="7"/>
      <c r="M283" s="6"/>
      <c r="N283" s="6"/>
      <c r="O283" s="6">
        <f t="shared" si="13"/>
        <v>0</v>
      </c>
      <c r="P283" s="6"/>
      <c r="Q283" s="6"/>
      <c r="R283" s="6">
        <f t="shared" si="15"/>
        <v>0</v>
      </c>
      <c r="S283" s="6"/>
      <c r="T283" s="6"/>
      <c r="U283" s="6">
        <f t="shared" si="14"/>
        <v>0</v>
      </c>
    </row>
    <row r="284" spans="1:21" hidden="1" x14ac:dyDescent="0.2">
      <c r="A284" s="6" t="s">
        <v>341</v>
      </c>
      <c r="B284" s="6" t="s">
        <v>342</v>
      </c>
      <c r="C284" s="6" t="s">
        <v>342</v>
      </c>
      <c r="D284" s="6" t="s">
        <v>342</v>
      </c>
      <c r="E284" s="6"/>
      <c r="F284" s="6">
        <v>282</v>
      </c>
      <c r="G284" s="6"/>
      <c r="H284" s="6"/>
      <c r="I284" s="6"/>
      <c r="J284" s="6"/>
      <c r="K284" s="6"/>
      <c r="L284" s="7"/>
      <c r="M284" s="6"/>
      <c r="N284" s="6"/>
      <c r="O284" s="6">
        <f t="shared" si="13"/>
        <v>0</v>
      </c>
      <c r="P284" s="6"/>
      <c r="Q284" s="6"/>
      <c r="R284" s="6">
        <f t="shared" si="15"/>
        <v>0</v>
      </c>
      <c r="S284" s="6"/>
      <c r="T284" s="6"/>
      <c r="U284" s="6">
        <f t="shared" si="14"/>
        <v>0</v>
      </c>
    </row>
    <row r="285" spans="1:21" hidden="1" x14ac:dyDescent="0.2">
      <c r="A285" s="6" t="s">
        <v>341</v>
      </c>
      <c r="B285" s="6" t="s">
        <v>342</v>
      </c>
      <c r="C285" s="6" t="s">
        <v>342</v>
      </c>
      <c r="D285" s="6" t="s">
        <v>342</v>
      </c>
      <c r="E285" s="6"/>
      <c r="F285" s="6">
        <v>283</v>
      </c>
      <c r="G285" s="6"/>
      <c r="H285" s="6"/>
      <c r="I285" s="6"/>
      <c r="J285" s="6"/>
      <c r="K285" s="6"/>
      <c r="L285" s="7"/>
      <c r="M285" s="6"/>
      <c r="N285" s="6"/>
      <c r="O285" s="6">
        <f t="shared" si="13"/>
        <v>0</v>
      </c>
      <c r="P285" s="6"/>
      <c r="Q285" s="6"/>
      <c r="R285" s="6">
        <f t="shared" si="15"/>
        <v>0</v>
      </c>
      <c r="S285" s="6"/>
      <c r="T285" s="6"/>
      <c r="U285" s="6">
        <f t="shared" si="14"/>
        <v>0</v>
      </c>
    </row>
    <row r="286" spans="1:21" hidden="1" x14ac:dyDescent="0.2">
      <c r="A286" s="6" t="s">
        <v>341</v>
      </c>
      <c r="B286" s="6" t="s">
        <v>342</v>
      </c>
      <c r="C286" s="6" t="s">
        <v>342</v>
      </c>
      <c r="D286" s="6" t="s">
        <v>342</v>
      </c>
      <c r="E286" s="6"/>
      <c r="F286" s="6">
        <v>284</v>
      </c>
      <c r="G286" s="6"/>
      <c r="H286" s="6"/>
      <c r="I286" s="6"/>
      <c r="J286" s="6"/>
      <c r="K286" s="6"/>
      <c r="L286" s="7"/>
      <c r="M286" s="6"/>
      <c r="N286" s="6"/>
      <c r="O286" s="6">
        <f t="shared" si="13"/>
        <v>0</v>
      </c>
      <c r="P286" s="6"/>
      <c r="Q286" s="6"/>
      <c r="R286" s="6">
        <f t="shared" si="15"/>
        <v>0</v>
      </c>
      <c r="S286" s="6"/>
      <c r="T286" s="6"/>
      <c r="U286" s="6">
        <f t="shared" si="14"/>
        <v>0</v>
      </c>
    </row>
    <row r="287" spans="1:21" hidden="1" x14ac:dyDescent="0.2">
      <c r="A287" s="6" t="s">
        <v>341</v>
      </c>
      <c r="B287" s="6" t="s">
        <v>342</v>
      </c>
      <c r="C287" s="6" t="s">
        <v>342</v>
      </c>
      <c r="D287" s="6" t="s">
        <v>342</v>
      </c>
      <c r="E287" s="6"/>
      <c r="F287" s="6">
        <v>285</v>
      </c>
      <c r="G287" s="6"/>
      <c r="H287" s="6"/>
      <c r="I287" s="6"/>
      <c r="J287" s="6"/>
      <c r="K287" s="6"/>
      <c r="L287" s="7"/>
      <c r="M287" s="6"/>
      <c r="N287" s="6"/>
      <c r="O287" s="6">
        <f t="shared" si="13"/>
        <v>0</v>
      </c>
      <c r="P287" s="6"/>
      <c r="Q287" s="6"/>
      <c r="R287" s="6">
        <f t="shared" si="15"/>
        <v>0</v>
      </c>
      <c r="S287" s="6"/>
      <c r="T287" s="6"/>
      <c r="U287" s="6">
        <f t="shared" si="14"/>
        <v>0</v>
      </c>
    </row>
    <row r="288" spans="1:21" hidden="1" x14ac:dyDescent="0.2">
      <c r="A288" s="6" t="s">
        <v>341</v>
      </c>
      <c r="B288" s="6" t="s">
        <v>342</v>
      </c>
      <c r="C288" s="6" t="s">
        <v>342</v>
      </c>
      <c r="D288" s="6" t="s">
        <v>342</v>
      </c>
      <c r="E288" s="6"/>
      <c r="F288" s="6">
        <v>286</v>
      </c>
      <c r="G288" s="6"/>
      <c r="H288" s="6"/>
      <c r="I288" s="6"/>
      <c r="J288" s="6"/>
      <c r="K288" s="6"/>
      <c r="L288" s="7"/>
      <c r="M288" s="6"/>
      <c r="N288" s="6"/>
      <c r="O288" s="6">
        <f t="shared" si="13"/>
        <v>0</v>
      </c>
      <c r="P288" s="6"/>
      <c r="Q288" s="6"/>
      <c r="R288" s="6">
        <f t="shared" si="15"/>
        <v>0</v>
      </c>
      <c r="S288" s="6"/>
      <c r="T288" s="6"/>
      <c r="U288" s="6">
        <f t="shared" si="14"/>
        <v>0</v>
      </c>
    </row>
    <row r="289" spans="1:21" hidden="1" x14ac:dyDescent="0.2">
      <c r="A289" s="6" t="s">
        <v>341</v>
      </c>
      <c r="B289" s="6" t="s">
        <v>342</v>
      </c>
      <c r="C289" s="6" t="s">
        <v>342</v>
      </c>
      <c r="D289" s="6" t="s">
        <v>342</v>
      </c>
      <c r="E289" s="6"/>
      <c r="F289" s="6">
        <v>287</v>
      </c>
      <c r="G289" s="6"/>
      <c r="H289" s="6"/>
      <c r="I289" s="6"/>
      <c r="J289" s="6"/>
      <c r="K289" s="6"/>
      <c r="L289" s="7"/>
      <c r="M289" s="6"/>
      <c r="N289" s="6"/>
      <c r="O289" s="6">
        <f t="shared" si="13"/>
        <v>0</v>
      </c>
      <c r="P289" s="6"/>
      <c r="Q289" s="6"/>
      <c r="R289" s="6">
        <f t="shared" si="15"/>
        <v>0</v>
      </c>
      <c r="S289" s="6"/>
      <c r="T289" s="6"/>
      <c r="U289" s="6">
        <f t="shared" si="14"/>
        <v>0</v>
      </c>
    </row>
    <row r="290" spans="1:21" hidden="1" x14ac:dyDescent="0.2">
      <c r="A290" s="6" t="s">
        <v>341</v>
      </c>
      <c r="B290" s="6" t="s">
        <v>342</v>
      </c>
      <c r="C290" s="6" t="s">
        <v>342</v>
      </c>
      <c r="D290" s="6" t="s">
        <v>342</v>
      </c>
      <c r="E290" s="6"/>
      <c r="F290" s="6">
        <v>288</v>
      </c>
      <c r="G290" s="6"/>
      <c r="H290" s="6"/>
      <c r="I290" s="6"/>
      <c r="J290" s="6"/>
      <c r="K290" s="6"/>
      <c r="L290" s="7"/>
      <c r="M290" s="6"/>
      <c r="N290" s="6"/>
      <c r="O290" s="6">
        <f t="shared" si="13"/>
        <v>0</v>
      </c>
      <c r="P290" s="6"/>
      <c r="Q290" s="6"/>
      <c r="R290" s="6">
        <f t="shared" si="15"/>
        <v>0</v>
      </c>
      <c r="S290" s="6"/>
      <c r="T290" s="6"/>
      <c r="U290" s="6">
        <f t="shared" si="14"/>
        <v>0</v>
      </c>
    </row>
    <row r="291" spans="1:21" hidden="1" x14ac:dyDescent="0.2">
      <c r="A291" s="6" t="s">
        <v>341</v>
      </c>
      <c r="B291" s="6" t="s">
        <v>342</v>
      </c>
      <c r="C291" s="6" t="s">
        <v>342</v>
      </c>
      <c r="D291" s="6" t="s">
        <v>342</v>
      </c>
      <c r="E291" s="6"/>
      <c r="F291" s="6">
        <v>289</v>
      </c>
      <c r="G291" s="6"/>
      <c r="H291" s="6"/>
      <c r="I291" s="6"/>
      <c r="J291" s="6"/>
      <c r="K291" s="6"/>
      <c r="L291" s="7"/>
      <c r="M291" s="6"/>
      <c r="N291" s="6"/>
      <c r="O291" s="6">
        <f t="shared" si="13"/>
        <v>0</v>
      </c>
      <c r="P291" s="6"/>
      <c r="Q291" s="6"/>
      <c r="R291" s="6">
        <f t="shared" si="15"/>
        <v>0</v>
      </c>
      <c r="S291" s="6"/>
      <c r="T291" s="6"/>
      <c r="U291" s="6">
        <f t="shared" si="14"/>
        <v>0</v>
      </c>
    </row>
    <row r="292" spans="1:21" hidden="1" x14ac:dyDescent="0.2">
      <c r="A292" s="6" t="s">
        <v>341</v>
      </c>
      <c r="B292" s="6" t="s">
        <v>342</v>
      </c>
      <c r="C292" s="6" t="s">
        <v>342</v>
      </c>
      <c r="D292" s="6" t="s">
        <v>342</v>
      </c>
      <c r="E292" s="6"/>
      <c r="F292" s="6">
        <v>290</v>
      </c>
      <c r="G292" s="6"/>
      <c r="H292" s="6"/>
      <c r="I292" s="6"/>
      <c r="J292" s="6"/>
      <c r="K292" s="6"/>
      <c r="L292" s="7"/>
      <c r="M292" s="6"/>
      <c r="N292" s="6"/>
      <c r="O292" s="6">
        <f t="shared" si="13"/>
        <v>0</v>
      </c>
      <c r="P292" s="6"/>
      <c r="Q292" s="6"/>
      <c r="R292" s="6">
        <f t="shared" si="15"/>
        <v>0</v>
      </c>
      <c r="S292" s="6"/>
      <c r="T292" s="6"/>
      <c r="U292" s="6">
        <f t="shared" si="14"/>
        <v>0</v>
      </c>
    </row>
    <row r="293" spans="1:21" hidden="1" x14ac:dyDescent="0.2">
      <c r="A293" s="6" t="s">
        <v>341</v>
      </c>
      <c r="B293" s="6" t="s">
        <v>342</v>
      </c>
      <c r="C293" s="6" t="s">
        <v>342</v>
      </c>
      <c r="D293" s="6" t="s">
        <v>342</v>
      </c>
      <c r="E293" s="6"/>
      <c r="F293" s="6">
        <v>291</v>
      </c>
      <c r="G293" s="6"/>
      <c r="H293" s="6"/>
      <c r="I293" s="6"/>
      <c r="J293" s="6"/>
      <c r="K293" s="6"/>
      <c r="L293" s="7"/>
      <c r="M293" s="6"/>
      <c r="N293" s="6"/>
      <c r="O293" s="6">
        <f t="shared" si="13"/>
        <v>0</v>
      </c>
      <c r="P293" s="6"/>
      <c r="Q293" s="6"/>
      <c r="R293" s="6">
        <f t="shared" si="15"/>
        <v>0</v>
      </c>
      <c r="S293" s="6"/>
      <c r="T293" s="6"/>
      <c r="U293" s="6">
        <f t="shared" si="14"/>
        <v>0</v>
      </c>
    </row>
    <row r="294" spans="1:21" hidden="1" x14ac:dyDescent="0.2">
      <c r="A294" s="6" t="s">
        <v>341</v>
      </c>
      <c r="B294" s="6" t="s">
        <v>342</v>
      </c>
      <c r="C294" s="6" t="s">
        <v>342</v>
      </c>
      <c r="D294" s="6" t="s">
        <v>342</v>
      </c>
      <c r="E294" s="6"/>
      <c r="F294" s="6">
        <v>292</v>
      </c>
      <c r="G294" s="6"/>
      <c r="H294" s="6"/>
      <c r="I294" s="6"/>
      <c r="J294" s="6"/>
      <c r="K294" s="6"/>
      <c r="L294" s="7"/>
      <c r="M294" s="6"/>
      <c r="N294" s="6"/>
      <c r="O294" s="6">
        <f t="shared" si="13"/>
        <v>0</v>
      </c>
      <c r="P294" s="6"/>
      <c r="Q294" s="6"/>
      <c r="R294" s="6">
        <f t="shared" si="15"/>
        <v>0</v>
      </c>
      <c r="S294" s="6"/>
      <c r="T294" s="6"/>
      <c r="U294" s="6">
        <f t="shared" si="14"/>
        <v>0</v>
      </c>
    </row>
    <row r="295" spans="1:21" hidden="1" x14ac:dyDescent="0.2">
      <c r="A295" s="6" t="s">
        <v>341</v>
      </c>
      <c r="B295" s="6" t="s">
        <v>342</v>
      </c>
      <c r="C295" s="6" t="s">
        <v>342</v>
      </c>
      <c r="D295" s="6" t="s">
        <v>342</v>
      </c>
      <c r="E295" s="6"/>
      <c r="F295" s="6">
        <v>293</v>
      </c>
      <c r="G295" s="6"/>
      <c r="H295" s="6"/>
      <c r="I295" s="6"/>
      <c r="J295" s="6"/>
      <c r="K295" s="6"/>
      <c r="L295" s="7"/>
      <c r="M295" s="6"/>
      <c r="N295" s="6"/>
      <c r="O295" s="6">
        <f t="shared" si="13"/>
        <v>0</v>
      </c>
      <c r="P295" s="6"/>
      <c r="Q295" s="6"/>
      <c r="R295" s="6">
        <f t="shared" si="15"/>
        <v>0</v>
      </c>
      <c r="S295" s="6"/>
      <c r="T295" s="6"/>
      <c r="U295" s="6">
        <f t="shared" si="14"/>
        <v>0</v>
      </c>
    </row>
    <row r="296" spans="1:21" hidden="1" x14ac:dyDescent="0.2">
      <c r="A296" s="6" t="s">
        <v>341</v>
      </c>
      <c r="B296" s="6" t="s">
        <v>342</v>
      </c>
      <c r="C296" s="6" t="s">
        <v>342</v>
      </c>
      <c r="D296" s="6" t="s">
        <v>342</v>
      </c>
      <c r="E296" s="6"/>
      <c r="F296" s="6">
        <v>294</v>
      </c>
      <c r="G296" s="6"/>
      <c r="H296" s="6"/>
      <c r="I296" s="6"/>
      <c r="J296" s="6"/>
      <c r="K296" s="6"/>
      <c r="L296" s="7"/>
      <c r="M296" s="6"/>
      <c r="N296" s="6"/>
      <c r="O296" s="6">
        <f t="shared" si="13"/>
        <v>0</v>
      </c>
      <c r="P296" s="6"/>
      <c r="Q296" s="6"/>
      <c r="R296" s="6">
        <f t="shared" si="15"/>
        <v>0</v>
      </c>
      <c r="S296" s="6"/>
      <c r="T296" s="6"/>
      <c r="U296" s="6">
        <f t="shared" si="14"/>
        <v>0</v>
      </c>
    </row>
    <row r="297" spans="1:21" hidden="1" x14ac:dyDescent="0.2">
      <c r="A297" s="6" t="s">
        <v>341</v>
      </c>
      <c r="B297" s="6" t="s">
        <v>342</v>
      </c>
      <c r="C297" s="6" t="s">
        <v>342</v>
      </c>
      <c r="D297" s="6" t="s">
        <v>342</v>
      </c>
      <c r="E297" s="6"/>
      <c r="F297" s="6">
        <v>295</v>
      </c>
      <c r="G297" s="6"/>
      <c r="H297" s="6"/>
      <c r="I297" s="6"/>
      <c r="J297" s="6"/>
      <c r="K297" s="6"/>
      <c r="L297" s="7"/>
      <c r="M297" s="6"/>
      <c r="N297" s="6"/>
      <c r="O297" s="6">
        <f t="shared" si="13"/>
        <v>0</v>
      </c>
      <c r="P297" s="6"/>
      <c r="Q297" s="6"/>
      <c r="R297" s="6">
        <f t="shared" si="15"/>
        <v>0</v>
      </c>
      <c r="S297" s="6"/>
      <c r="T297" s="6"/>
      <c r="U297" s="6">
        <f t="shared" si="14"/>
        <v>0</v>
      </c>
    </row>
    <row r="298" spans="1:21" hidden="1" x14ac:dyDescent="0.2">
      <c r="A298" s="6" t="s">
        <v>341</v>
      </c>
      <c r="B298" s="6" t="s">
        <v>342</v>
      </c>
      <c r="C298" s="6" t="s">
        <v>342</v>
      </c>
      <c r="D298" s="6" t="s">
        <v>342</v>
      </c>
      <c r="E298" s="6"/>
      <c r="F298" s="6">
        <v>296</v>
      </c>
      <c r="G298" s="6"/>
      <c r="H298" s="6"/>
      <c r="I298" s="6"/>
      <c r="J298" s="6"/>
      <c r="K298" s="6"/>
      <c r="L298" s="7"/>
      <c r="M298" s="6"/>
      <c r="N298" s="6"/>
      <c r="O298" s="6">
        <f t="shared" si="13"/>
        <v>0</v>
      </c>
      <c r="P298" s="6"/>
      <c r="Q298" s="6"/>
      <c r="R298" s="6">
        <f t="shared" si="15"/>
        <v>0</v>
      </c>
      <c r="S298" s="6"/>
      <c r="T298" s="6"/>
      <c r="U298" s="6">
        <f t="shared" si="14"/>
        <v>0</v>
      </c>
    </row>
    <row r="299" spans="1:21" hidden="1" x14ac:dyDescent="0.2">
      <c r="A299" s="6" t="s">
        <v>341</v>
      </c>
      <c r="B299" s="6" t="s">
        <v>342</v>
      </c>
      <c r="C299" s="6" t="s">
        <v>342</v>
      </c>
      <c r="D299" s="6" t="s">
        <v>342</v>
      </c>
      <c r="E299" s="6"/>
      <c r="F299" s="6">
        <v>297</v>
      </c>
      <c r="G299" s="6"/>
      <c r="H299" s="6"/>
      <c r="I299" s="6"/>
      <c r="J299" s="6"/>
      <c r="K299" s="6"/>
      <c r="L299" s="7"/>
      <c r="M299" s="6"/>
      <c r="N299" s="6"/>
      <c r="O299" s="6">
        <f t="shared" si="13"/>
        <v>0</v>
      </c>
      <c r="P299" s="6"/>
      <c r="Q299" s="6"/>
      <c r="R299" s="6">
        <f t="shared" si="15"/>
        <v>0</v>
      </c>
      <c r="S299" s="6"/>
      <c r="T299" s="6"/>
      <c r="U299" s="6">
        <f t="shared" si="14"/>
        <v>0</v>
      </c>
    </row>
    <row r="300" spans="1:21" hidden="1" x14ac:dyDescent="0.2">
      <c r="A300" s="6" t="s">
        <v>341</v>
      </c>
      <c r="B300" s="6" t="s">
        <v>342</v>
      </c>
      <c r="C300" s="6" t="s">
        <v>342</v>
      </c>
      <c r="D300" s="6" t="s">
        <v>342</v>
      </c>
      <c r="E300" s="6"/>
      <c r="F300" s="6">
        <v>298</v>
      </c>
      <c r="G300" s="6"/>
      <c r="H300" s="6"/>
      <c r="I300" s="6"/>
      <c r="J300" s="6"/>
      <c r="K300" s="6"/>
      <c r="L300" s="7"/>
      <c r="M300" s="6"/>
      <c r="N300" s="6"/>
      <c r="O300" s="6">
        <f t="shared" si="13"/>
        <v>0</v>
      </c>
      <c r="P300" s="6"/>
      <c r="Q300" s="6"/>
      <c r="R300" s="6">
        <f t="shared" si="15"/>
        <v>0</v>
      </c>
      <c r="S300" s="6"/>
      <c r="T300" s="6"/>
      <c r="U300" s="6">
        <f t="shared" si="14"/>
        <v>0</v>
      </c>
    </row>
    <row r="301" spans="1:21" hidden="1" x14ac:dyDescent="0.2">
      <c r="A301" s="6" t="s">
        <v>341</v>
      </c>
      <c r="B301" s="6" t="s">
        <v>342</v>
      </c>
      <c r="C301" s="6" t="s">
        <v>342</v>
      </c>
      <c r="D301" s="6" t="s">
        <v>342</v>
      </c>
      <c r="E301" s="6"/>
      <c r="F301" s="6">
        <v>299</v>
      </c>
      <c r="G301" s="6"/>
      <c r="H301" s="6"/>
      <c r="I301" s="6"/>
      <c r="J301" s="6"/>
      <c r="K301" s="6"/>
      <c r="L301" s="7"/>
      <c r="M301" s="6"/>
      <c r="N301" s="6"/>
      <c r="O301" s="6">
        <f t="shared" si="13"/>
        <v>0</v>
      </c>
      <c r="P301" s="6"/>
      <c r="Q301" s="6"/>
      <c r="R301" s="6">
        <f t="shared" si="15"/>
        <v>0</v>
      </c>
      <c r="S301" s="6"/>
      <c r="T301" s="6"/>
      <c r="U301" s="6">
        <f t="shared" si="14"/>
        <v>0</v>
      </c>
    </row>
    <row r="302" spans="1:21" hidden="1" x14ac:dyDescent="0.2">
      <c r="A302" s="6" t="s">
        <v>341</v>
      </c>
      <c r="B302" s="6" t="s">
        <v>342</v>
      </c>
      <c r="C302" s="6" t="s">
        <v>342</v>
      </c>
      <c r="D302" s="6" t="s">
        <v>342</v>
      </c>
      <c r="E302" s="6"/>
      <c r="F302" s="6">
        <v>300</v>
      </c>
      <c r="G302" s="6"/>
      <c r="H302" s="6"/>
      <c r="I302" s="6"/>
      <c r="J302" s="6"/>
      <c r="K302" s="6"/>
      <c r="L302" s="7"/>
      <c r="M302" s="6"/>
      <c r="N302" s="6"/>
      <c r="O302" s="6">
        <f t="shared" si="13"/>
        <v>0</v>
      </c>
      <c r="P302" s="6"/>
      <c r="Q302" s="6"/>
      <c r="R302" s="6">
        <f t="shared" si="15"/>
        <v>0</v>
      </c>
      <c r="S302" s="6"/>
      <c r="T302" s="6"/>
      <c r="U302" s="6">
        <f t="shared" si="14"/>
        <v>0</v>
      </c>
    </row>
    <row r="303" spans="1:21" hidden="1" x14ac:dyDescent="0.2">
      <c r="A303" s="6" t="s">
        <v>341</v>
      </c>
      <c r="B303" s="6" t="s">
        <v>342</v>
      </c>
      <c r="C303" s="6" t="s">
        <v>342</v>
      </c>
      <c r="D303" s="6" t="s">
        <v>342</v>
      </c>
      <c r="E303" s="6"/>
      <c r="F303" s="6">
        <v>301</v>
      </c>
      <c r="G303" s="6"/>
      <c r="H303" s="6"/>
      <c r="I303" s="6"/>
      <c r="J303" s="6"/>
      <c r="K303" s="6"/>
      <c r="L303" s="7"/>
      <c r="M303" s="6"/>
      <c r="N303" s="6"/>
      <c r="O303" s="6">
        <f t="shared" si="13"/>
        <v>0</v>
      </c>
      <c r="P303" s="6"/>
      <c r="Q303" s="6"/>
      <c r="R303" s="6">
        <f t="shared" si="15"/>
        <v>0</v>
      </c>
      <c r="S303" s="6"/>
      <c r="T303" s="6"/>
      <c r="U303" s="6">
        <f t="shared" si="14"/>
        <v>0</v>
      </c>
    </row>
    <row r="304" spans="1:21" hidden="1" x14ac:dyDescent="0.2">
      <c r="A304" s="6" t="s">
        <v>341</v>
      </c>
      <c r="B304" s="6" t="s">
        <v>342</v>
      </c>
      <c r="C304" s="6" t="s">
        <v>342</v>
      </c>
      <c r="D304" s="6" t="s">
        <v>342</v>
      </c>
      <c r="E304" s="6"/>
      <c r="F304" s="6">
        <v>302</v>
      </c>
      <c r="G304" s="6"/>
      <c r="H304" s="6"/>
      <c r="I304" s="6"/>
      <c r="J304" s="6"/>
      <c r="K304" s="6"/>
      <c r="L304" s="7"/>
      <c r="M304" s="6"/>
      <c r="N304" s="6"/>
      <c r="O304" s="6">
        <f t="shared" si="13"/>
        <v>0</v>
      </c>
      <c r="P304" s="6"/>
      <c r="Q304" s="6"/>
      <c r="R304" s="6">
        <f t="shared" si="15"/>
        <v>0</v>
      </c>
      <c r="S304" s="6"/>
      <c r="T304" s="6"/>
      <c r="U304" s="6">
        <f t="shared" si="14"/>
        <v>0</v>
      </c>
    </row>
    <row r="305" spans="1:21" hidden="1" x14ac:dyDescent="0.2">
      <c r="A305" s="6" t="s">
        <v>341</v>
      </c>
      <c r="B305" s="6" t="s">
        <v>342</v>
      </c>
      <c r="C305" s="6" t="s">
        <v>342</v>
      </c>
      <c r="D305" s="6" t="s">
        <v>342</v>
      </c>
      <c r="E305" s="6"/>
      <c r="F305" s="6">
        <v>303</v>
      </c>
      <c r="G305" s="6"/>
      <c r="H305" s="6"/>
      <c r="I305" s="6"/>
      <c r="J305" s="6"/>
      <c r="K305" s="6"/>
      <c r="L305" s="7"/>
      <c r="M305" s="6"/>
      <c r="N305" s="6"/>
      <c r="O305" s="6">
        <f t="shared" si="13"/>
        <v>0</v>
      </c>
      <c r="P305" s="6"/>
      <c r="Q305" s="6"/>
      <c r="R305" s="6">
        <f t="shared" si="15"/>
        <v>0</v>
      </c>
      <c r="S305" s="6"/>
      <c r="T305" s="6"/>
      <c r="U305" s="6">
        <f t="shared" si="14"/>
        <v>0</v>
      </c>
    </row>
    <row r="306" spans="1:21" hidden="1" x14ac:dyDescent="0.2">
      <c r="A306" s="6" t="s">
        <v>341</v>
      </c>
      <c r="B306" s="6" t="s">
        <v>342</v>
      </c>
      <c r="C306" s="6" t="s">
        <v>342</v>
      </c>
      <c r="D306" s="6" t="s">
        <v>342</v>
      </c>
      <c r="E306" s="6"/>
      <c r="F306" s="6">
        <v>304</v>
      </c>
      <c r="G306" s="6"/>
      <c r="H306" s="6"/>
      <c r="I306" s="6"/>
      <c r="J306" s="6"/>
      <c r="K306" s="6"/>
      <c r="L306" s="7"/>
      <c r="M306" s="6"/>
      <c r="N306" s="6"/>
      <c r="O306" s="6">
        <f t="shared" si="13"/>
        <v>0</v>
      </c>
      <c r="P306" s="6"/>
      <c r="Q306" s="6"/>
      <c r="R306" s="6">
        <f t="shared" si="15"/>
        <v>0</v>
      </c>
      <c r="S306" s="6"/>
      <c r="T306" s="6"/>
      <c r="U306" s="6">
        <f t="shared" si="14"/>
        <v>0</v>
      </c>
    </row>
    <row r="307" spans="1:21" hidden="1" x14ac:dyDescent="0.2">
      <c r="A307" s="6" t="s">
        <v>341</v>
      </c>
      <c r="B307" s="6" t="s">
        <v>342</v>
      </c>
      <c r="C307" s="6" t="s">
        <v>342</v>
      </c>
      <c r="D307" s="6" t="s">
        <v>342</v>
      </c>
      <c r="E307" s="6"/>
      <c r="F307" s="6">
        <v>305</v>
      </c>
      <c r="G307" s="6"/>
      <c r="H307" s="6"/>
      <c r="I307" s="6"/>
      <c r="J307" s="6"/>
      <c r="K307" s="6"/>
      <c r="L307" s="7"/>
      <c r="M307" s="6"/>
      <c r="N307" s="6"/>
      <c r="O307" s="6">
        <f t="shared" si="13"/>
        <v>0</v>
      </c>
      <c r="P307" s="6"/>
      <c r="Q307" s="6"/>
      <c r="R307" s="6">
        <f t="shared" si="15"/>
        <v>0</v>
      </c>
      <c r="S307" s="6"/>
      <c r="T307" s="6"/>
      <c r="U307" s="6">
        <f t="shared" si="14"/>
        <v>0</v>
      </c>
    </row>
    <row r="308" spans="1:21" hidden="1" x14ac:dyDescent="0.2">
      <c r="A308" s="6" t="s">
        <v>341</v>
      </c>
      <c r="B308" s="6" t="s">
        <v>342</v>
      </c>
      <c r="C308" s="6" t="s">
        <v>342</v>
      </c>
      <c r="D308" s="6" t="s">
        <v>342</v>
      </c>
      <c r="E308" s="6"/>
      <c r="F308" s="6">
        <v>306</v>
      </c>
      <c r="G308" s="6"/>
      <c r="H308" s="6"/>
      <c r="I308" s="6"/>
      <c r="J308" s="6"/>
      <c r="K308" s="6"/>
      <c r="L308" s="7"/>
      <c r="M308" s="6"/>
      <c r="N308" s="6"/>
      <c r="O308" s="6">
        <f t="shared" si="13"/>
        <v>0</v>
      </c>
      <c r="P308" s="6"/>
      <c r="Q308" s="6"/>
      <c r="R308" s="6">
        <f t="shared" si="15"/>
        <v>0</v>
      </c>
      <c r="S308" s="6"/>
      <c r="T308" s="6"/>
      <c r="U308" s="6">
        <f t="shared" si="14"/>
        <v>0</v>
      </c>
    </row>
    <row r="309" spans="1:21" hidden="1" x14ac:dyDescent="0.2">
      <c r="A309" s="6" t="s">
        <v>341</v>
      </c>
      <c r="B309" s="6" t="s">
        <v>342</v>
      </c>
      <c r="C309" s="6" t="s">
        <v>342</v>
      </c>
      <c r="D309" s="6" t="s">
        <v>342</v>
      </c>
      <c r="E309" s="6"/>
      <c r="F309" s="6">
        <v>307</v>
      </c>
      <c r="G309" s="6"/>
      <c r="H309" s="6"/>
      <c r="I309" s="6"/>
      <c r="J309" s="6"/>
      <c r="K309" s="6"/>
      <c r="L309" s="7"/>
      <c r="M309" s="6"/>
      <c r="N309" s="6"/>
      <c r="O309" s="6">
        <f t="shared" si="13"/>
        <v>0</v>
      </c>
      <c r="P309" s="6"/>
      <c r="Q309" s="6"/>
      <c r="R309" s="6">
        <f t="shared" si="15"/>
        <v>0</v>
      </c>
      <c r="S309" s="6"/>
      <c r="T309" s="6"/>
      <c r="U309" s="6">
        <f t="shared" si="14"/>
        <v>0</v>
      </c>
    </row>
    <row r="310" spans="1:21" hidden="1" x14ac:dyDescent="0.2">
      <c r="A310" s="6" t="s">
        <v>341</v>
      </c>
      <c r="B310" s="6" t="s">
        <v>342</v>
      </c>
      <c r="C310" s="6" t="s">
        <v>342</v>
      </c>
      <c r="D310" s="6" t="s">
        <v>342</v>
      </c>
      <c r="E310" s="6"/>
      <c r="F310" s="6">
        <v>308</v>
      </c>
      <c r="G310" s="6"/>
      <c r="H310" s="6"/>
      <c r="I310" s="6"/>
      <c r="J310" s="6"/>
      <c r="K310" s="6"/>
      <c r="L310" s="7"/>
      <c r="M310" s="6"/>
      <c r="N310" s="6"/>
      <c r="O310" s="6">
        <f t="shared" si="13"/>
        <v>0</v>
      </c>
      <c r="P310" s="6"/>
      <c r="Q310" s="6"/>
      <c r="R310" s="6">
        <f t="shared" si="15"/>
        <v>0</v>
      </c>
      <c r="S310" s="6"/>
      <c r="T310" s="6"/>
      <c r="U310" s="6">
        <f t="shared" si="14"/>
        <v>0</v>
      </c>
    </row>
    <row r="311" spans="1:21" hidden="1" x14ac:dyDescent="0.2">
      <c r="A311" s="6" t="s">
        <v>341</v>
      </c>
      <c r="B311" s="6" t="s">
        <v>342</v>
      </c>
      <c r="C311" s="6" t="s">
        <v>342</v>
      </c>
      <c r="D311" s="6" t="s">
        <v>342</v>
      </c>
      <c r="E311" s="6"/>
      <c r="F311" s="6">
        <v>309</v>
      </c>
      <c r="G311" s="6"/>
      <c r="H311" s="6"/>
      <c r="I311" s="6"/>
      <c r="J311" s="6"/>
      <c r="K311" s="6"/>
      <c r="L311" s="7"/>
      <c r="M311" s="6"/>
      <c r="N311" s="6"/>
      <c r="O311" s="6">
        <f t="shared" si="13"/>
        <v>0</v>
      </c>
      <c r="P311" s="6"/>
      <c r="Q311" s="6"/>
      <c r="R311" s="6">
        <f t="shared" si="15"/>
        <v>0</v>
      </c>
      <c r="S311" s="6"/>
      <c r="T311" s="6"/>
      <c r="U311" s="6">
        <f t="shared" si="14"/>
        <v>0</v>
      </c>
    </row>
    <row r="312" spans="1:21" hidden="1" x14ac:dyDescent="0.2">
      <c r="A312" s="6" t="s">
        <v>341</v>
      </c>
      <c r="B312" s="6" t="s">
        <v>342</v>
      </c>
      <c r="C312" s="6" t="s">
        <v>342</v>
      </c>
      <c r="D312" s="6" t="s">
        <v>342</v>
      </c>
      <c r="E312" s="6"/>
      <c r="F312" s="6">
        <v>310</v>
      </c>
      <c r="G312" s="6"/>
      <c r="H312" s="6"/>
      <c r="I312" s="6"/>
      <c r="J312" s="6"/>
      <c r="K312" s="6"/>
      <c r="L312" s="7"/>
      <c r="M312" s="6"/>
      <c r="N312" s="6"/>
      <c r="O312" s="6">
        <f t="shared" si="13"/>
        <v>0</v>
      </c>
      <c r="P312" s="6"/>
      <c r="Q312" s="6"/>
      <c r="R312" s="6">
        <f t="shared" si="15"/>
        <v>0</v>
      </c>
      <c r="S312" s="6"/>
      <c r="T312" s="6"/>
      <c r="U312" s="6">
        <f t="shared" si="14"/>
        <v>0</v>
      </c>
    </row>
    <row r="313" spans="1:21" hidden="1" x14ac:dyDescent="0.2">
      <c r="A313" s="6" t="s">
        <v>341</v>
      </c>
      <c r="B313" s="6" t="s">
        <v>342</v>
      </c>
      <c r="C313" s="6" t="s">
        <v>342</v>
      </c>
      <c r="D313" s="6" t="s">
        <v>342</v>
      </c>
      <c r="E313" s="6"/>
      <c r="F313" s="6">
        <v>311</v>
      </c>
      <c r="G313" s="6"/>
      <c r="H313" s="6"/>
      <c r="I313" s="6"/>
      <c r="J313" s="6"/>
      <c r="K313" s="6"/>
      <c r="L313" s="7"/>
      <c r="M313" s="6"/>
      <c r="N313" s="6"/>
      <c r="O313" s="6">
        <f t="shared" si="13"/>
        <v>0</v>
      </c>
      <c r="P313" s="6"/>
      <c r="Q313" s="6"/>
      <c r="R313" s="6">
        <f t="shared" si="15"/>
        <v>0</v>
      </c>
      <c r="S313" s="6"/>
      <c r="T313" s="6"/>
      <c r="U313" s="6">
        <f t="shared" si="14"/>
        <v>0</v>
      </c>
    </row>
    <row r="314" spans="1:21" hidden="1" x14ac:dyDescent="0.2">
      <c r="A314" s="6" t="s">
        <v>341</v>
      </c>
      <c r="B314" s="6" t="s">
        <v>342</v>
      </c>
      <c r="C314" s="6" t="s">
        <v>342</v>
      </c>
      <c r="D314" s="6" t="s">
        <v>342</v>
      </c>
      <c r="E314" s="6"/>
      <c r="F314" s="6">
        <v>312</v>
      </c>
      <c r="G314" s="6"/>
      <c r="H314" s="6"/>
      <c r="I314" s="6"/>
      <c r="J314" s="6"/>
      <c r="K314" s="6"/>
      <c r="L314" s="7"/>
      <c r="M314" s="6"/>
      <c r="N314" s="6"/>
      <c r="O314" s="6">
        <f t="shared" si="13"/>
        <v>0</v>
      </c>
      <c r="P314" s="6"/>
      <c r="Q314" s="6"/>
      <c r="R314" s="6">
        <f t="shared" si="15"/>
        <v>0</v>
      </c>
      <c r="S314" s="6"/>
      <c r="T314" s="6"/>
      <c r="U314" s="6">
        <f t="shared" si="14"/>
        <v>0</v>
      </c>
    </row>
    <row r="315" spans="1:21" hidden="1" x14ac:dyDescent="0.2">
      <c r="A315" s="6" t="s">
        <v>341</v>
      </c>
      <c r="B315" s="6" t="s">
        <v>342</v>
      </c>
      <c r="C315" s="6" t="s">
        <v>342</v>
      </c>
      <c r="D315" s="6" t="s">
        <v>342</v>
      </c>
      <c r="E315" s="6"/>
      <c r="F315" s="6">
        <v>313</v>
      </c>
      <c r="G315" s="6"/>
      <c r="H315" s="6"/>
      <c r="I315" s="6"/>
      <c r="J315" s="6"/>
      <c r="K315" s="6"/>
      <c r="L315" s="7"/>
      <c r="M315" s="6"/>
      <c r="N315" s="6"/>
      <c r="O315" s="6">
        <f t="shared" si="13"/>
        <v>0</v>
      </c>
      <c r="P315" s="6"/>
      <c r="Q315" s="6"/>
      <c r="R315" s="6">
        <f t="shared" si="15"/>
        <v>0</v>
      </c>
      <c r="S315" s="6"/>
      <c r="T315" s="6"/>
      <c r="U315" s="6">
        <f t="shared" si="14"/>
        <v>0</v>
      </c>
    </row>
    <row r="316" spans="1:21" hidden="1" x14ac:dyDescent="0.2">
      <c r="A316" s="6" t="s">
        <v>341</v>
      </c>
      <c r="B316" s="6" t="s">
        <v>342</v>
      </c>
      <c r="C316" s="6" t="s">
        <v>342</v>
      </c>
      <c r="D316" s="6" t="s">
        <v>342</v>
      </c>
      <c r="E316" s="6"/>
      <c r="F316" s="6">
        <v>314</v>
      </c>
      <c r="G316" s="6"/>
      <c r="H316" s="6"/>
      <c r="I316" s="6"/>
      <c r="J316" s="6"/>
      <c r="K316" s="6"/>
      <c r="L316" s="7"/>
      <c r="M316" s="6"/>
      <c r="N316" s="6"/>
      <c r="O316" s="6">
        <f t="shared" si="13"/>
        <v>0</v>
      </c>
      <c r="P316" s="6"/>
      <c r="Q316" s="6"/>
      <c r="R316" s="6">
        <f t="shared" si="15"/>
        <v>0</v>
      </c>
      <c r="S316" s="6"/>
      <c r="T316" s="6"/>
      <c r="U316" s="6">
        <f t="shared" si="14"/>
        <v>0</v>
      </c>
    </row>
    <row r="317" spans="1:21" hidden="1" x14ac:dyDescent="0.2">
      <c r="A317" s="6" t="s">
        <v>341</v>
      </c>
      <c r="B317" s="6" t="s">
        <v>342</v>
      </c>
      <c r="C317" s="6" t="s">
        <v>342</v>
      </c>
      <c r="D317" s="6" t="s">
        <v>342</v>
      </c>
      <c r="E317" s="6"/>
      <c r="F317" s="6">
        <v>315</v>
      </c>
      <c r="G317" s="6"/>
      <c r="H317" s="6"/>
      <c r="I317" s="6"/>
      <c r="J317" s="6"/>
      <c r="K317" s="6"/>
      <c r="L317" s="7"/>
      <c r="M317" s="6"/>
      <c r="N317" s="6"/>
      <c r="O317" s="6">
        <f t="shared" si="13"/>
        <v>0</v>
      </c>
      <c r="P317" s="6"/>
      <c r="Q317" s="6"/>
      <c r="R317" s="6">
        <f t="shared" si="15"/>
        <v>0</v>
      </c>
      <c r="S317" s="6"/>
      <c r="T317" s="6"/>
      <c r="U317" s="6">
        <f t="shared" si="14"/>
        <v>0</v>
      </c>
    </row>
    <row r="318" spans="1:21" hidden="1" x14ac:dyDescent="0.2">
      <c r="A318" s="6" t="s">
        <v>341</v>
      </c>
      <c r="B318" s="6" t="s">
        <v>342</v>
      </c>
      <c r="C318" s="6" t="s">
        <v>342</v>
      </c>
      <c r="D318" s="6" t="s">
        <v>342</v>
      </c>
      <c r="E318" s="6"/>
      <c r="F318" s="6">
        <v>316</v>
      </c>
      <c r="G318" s="6"/>
      <c r="H318" s="6"/>
      <c r="I318" s="6"/>
      <c r="J318" s="6"/>
      <c r="K318" s="6"/>
      <c r="L318" s="7"/>
      <c r="M318" s="6"/>
      <c r="N318" s="6"/>
      <c r="O318" s="6">
        <f t="shared" si="13"/>
        <v>0</v>
      </c>
      <c r="P318" s="6"/>
      <c r="Q318" s="6"/>
      <c r="R318" s="6">
        <f t="shared" si="15"/>
        <v>0</v>
      </c>
      <c r="S318" s="6"/>
      <c r="T318" s="6"/>
      <c r="U318" s="6">
        <f t="shared" si="14"/>
        <v>0</v>
      </c>
    </row>
    <row r="319" spans="1:21" hidden="1" x14ac:dyDescent="0.2">
      <c r="A319" s="6" t="s">
        <v>341</v>
      </c>
      <c r="B319" s="6" t="s">
        <v>342</v>
      </c>
      <c r="C319" s="6" t="s">
        <v>342</v>
      </c>
      <c r="D319" s="6" t="s">
        <v>342</v>
      </c>
      <c r="E319" s="6"/>
      <c r="F319" s="6">
        <v>317</v>
      </c>
      <c r="G319" s="6"/>
      <c r="H319" s="6"/>
      <c r="I319" s="6"/>
      <c r="J319" s="6"/>
      <c r="K319" s="6"/>
      <c r="L319" s="7"/>
      <c r="M319" s="6"/>
      <c r="N319" s="6"/>
      <c r="O319" s="6">
        <f t="shared" si="13"/>
        <v>0</v>
      </c>
      <c r="P319" s="6"/>
      <c r="Q319" s="6"/>
      <c r="R319" s="6">
        <f t="shared" si="15"/>
        <v>0</v>
      </c>
      <c r="S319" s="6"/>
      <c r="T319" s="6"/>
      <c r="U319" s="6">
        <f t="shared" si="14"/>
        <v>0</v>
      </c>
    </row>
    <row r="320" spans="1:21" hidden="1" x14ac:dyDescent="0.2">
      <c r="A320" s="6" t="s">
        <v>341</v>
      </c>
      <c r="B320" s="6" t="s">
        <v>342</v>
      </c>
      <c r="C320" s="6" t="s">
        <v>342</v>
      </c>
      <c r="D320" s="6" t="s">
        <v>342</v>
      </c>
      <c r="E320" s="6"/>
      <c r="F320" s="6">
        <v>318</v>
      </c>
      <c r="G320" s="6"/>
      <c r="H320" s="6"/>
      <c r="I320" s="6"/>
      <c r="J320" s="6"/>
      <c r="K320" s="6"/>
      <c r="L320" s="7"/>
      <c r="M320" s="6"/>
      <c r="N320" s="6"/>
      <c r="O320" s="6">
        <f t="shared" si="13"/>
        <v>0</v>
      </c>
      <c r="P320" s="6"/>
      <c r="Q320" s="6"/>
      <c r="R320" s="6">
        <f t="shared" si="15"/>
        <v>0</v>
      </c>
      <c r="S320" s="6"/>
      <c r="T320" s="6"/>
      <c r="U320" s="6">
        <f t="shared" si="14"/>
        <v>0</v>
      </c>
    </row>
    <row r="321" spans="1:21" hidden="1" x14ac:dyDescent="0.2">
      <c r="A321" s="6" t="s">
        <v>341</v>
      </c>
      <c r="B321" s="6" t="s">
        <v>342</v>
      </c>
      <c r="C321" s="6" t="s">
        <v>342</v>
      </c>
      <c r="D321" s="6" t="s">
        <v>342</v>
      </c>
      <c r="E321" s="6"/>
      <c r="F321" s="6">
        <v>319</v>
      </c>
      <c r="G321" s="6"/>
      <c r="H321" s="6"/>
      <c r="I321" s="6"/>
      <c r="J321" s="6"/>
      <c r="K321" s="6"/>
      <c r="L321" s="7"/>
      <c r="M321" s="6"/>
      <c r="N321" s="6"/>
      <c r="O321" s="6">
        <f t="shared" si="13"/>
        <v>0</v>
      </c>
      <c r="P321" s="6"/>
      <c r="Q321" s="6"/>
      <c r="R321" s="6">
        <f t="shared" si="15"/>
        <v>0</v>
      </c>
      <c r="S321" s="6"/>
      <c r="T321" s="6"/>
      <c r="U321" s="6">
        <f t="shared" si="14"/>
        <v>0</v>
      </c>
    </row>
    <row r="322" spans="1:21" hidden="1" x14ac:dyDescent="0.2">
      <c r="A322" s="6" t="s">
        <v>341</v>
      </c>
      <c r="B322" s="6" t="s">
        <v>342</v>
      </c>
      <c r="C322" s="6" t="s">
        <v>342</v>
      </c>
      <c r="D322" s="6" t="s">
        <v>342</v>
      </c>
      <c r="E322" s="6"/>
      <c r="F322" s="6">
        <v>320</v>
      </c>
      <c r="G322" s="6"/>
      <c r="H322" s="6"/>
      <c r="I322" s="6"/>
      <c r="J322" s="6"/>
      <c r="K322" s="6"/>
      <c r="L322" s="7"/>
      <c r="M322" s="6"/>
      <c r="N322" s="6"/>
      <c r="O322" s="6">
        <f t="shared" si="13"/>
        <v>0</v>
      </c>
      <c r="P322" s="6"/>
      <c r="Q322" s="6"/>
      <c r="R322" s="6">
        <f t="shared" si="15"/>
        <v>0</v>
      </c>
      <c r="S322" s="6"/>
      <c r="T322" s="6"/>
      <c r="U322" s="6">
        <f t="shared" si="14"/>
        <v>0</v>
      </c>
    </row>
    <row r="323" spans="1:21" hidden="1" x14ac:dyDescent="0.2">
      <c r="A323" s="6" t="s">
        <v>341</v>
      </c>
      <c r="B323" s="6" t="s">
        <v>342</v>
      </c>
      <c r="C323" s="6" t="s">
        <v>342</v>
      </c>
      <c r="D323" s="6" t="s">
        <v>342</v>
      </c>
      <c r="E323" s="6"/>
      <c r="F323" s="6">
        <v>321</v>
      </c>
      <c r="G323" s="6"/>
      <c r="H323" s="6"/>
      <c r="I323" s="6"/>
      <c r="J323" s="6"/>
      <c r="K323" s="6"/>
      <c r="L323" s="7"/>
      <c r="M323" s="6"/>
      <c r="N323" s="6"/>
      <c r="O323" s="6">
        <f t="shared" ref="O323:O363" si="16">IFERROR(N323-M323,"")</f>
        <v>0</v>
      </c>
      <c r="P323" s="6"/>
      <c r="Q323" s="6"/>
      <c r="R323" s="6">
        <f t="shared" si="15"/>
        <v>0</v>
      </c>
      <c r="S323" s="6"/>
      <c r="T323" s="6"/>
      <c r="U323" s="6">
        <f t="shared" ref="U323:U363" si="17">IFERROR(T323-S323,"")</f>
        <v>0</v>
      </c>
    </row>
    <row r="324" spans="1:21" hidden="1" x14ac:dyDescent="0.2">
      <c r="A324" s="6" t="s">
        <v>341</v>
      </c>
      <c r="B324" s="6" t="s">
        <v>342</v>
      </c>
      <c r="C324" s="6" t="s">
        <v>342</v>
      </c>
      <c r="D324" s="6" t="s">
        <v>342</v>
      </c>
      <c r="E324" s="6"/>
      <c r="F324" s="6">
        <v>322</v>
      </c>
      <c r="G324" s="6"/>
      <c r="H324" s="6"/>
      <c r="I324" s="6"/>
      <c r="J324" s="6"/>
      <c r="K324" s="6"/>
      <c r="L324" s="7"/>
      <c r="M324" s="6"/>
      <c r="N324" s="6"/>
      <c r="O324" s="6">
        <f t="shared" si="16"/>
        <v>0</v>
      </c>
      <c r="P324" s="6"/>
      <c r="Q324" s="6"/>
      <c r="R324" s="6">
        <f t="shared" si="15"/>
        <v>0</v>
      </c>
      <c r="S324" s="6"/>
      <c r="T324" s="6"/>
      <c r="U324" s="6">
        <f t="shared" si="17"/>
        <v>0</v>
      </c>
    </row>
    <row r="325" spans="1:21" hidden="1" x14ac:dyDescent="0.2">
      <c r="A325" s="6" t="s">
        <v>341</v>
      </c>
      <c r="B325" s="6" t="s">
        <v>342</v>
      </c>
      <c r="C325" s="6" t="s">
        <v>342</v>
      </c>
      <c r="D325" s="6" t="s">
        <v>342</v>
      </c>
      <c r="E325" s="6"/>
      <c r="F325" s="6">
        <v>323</v>
      </c>
      <c r="G325" s="6"/>
      <c r="H325" s="6"/>
      <c r="I325" s="6"/>
      <c r="J325" s="6"/>
      <c r="K325" s="6"/>
      <c r="L325" s="7"/>
      <c r="M325" s="6"/>
      <c r="N325" s="6"/>
      <c r="O325" s="6">
        <f t="shared" si="16"/>
        <v>0</v>
      </c>
      <c r="P325" s="6"/>
      <c r="Q325" s="6"/>
      <c r="R325" s="6">
        <f t="shared" si="15"/>
        <v>0</v>
      </c>
      <c r="S325" s="6"/>
      <c r="T325" s="6"/>
      <c r="U325" s="6">
        <f t="shared" si="17"/>
        <v>0</v>
      </c>
    </row>
    <row r="326" spans="1:21" hidden="1" x14ac:dyDescent="0.2">
      <c r="A326" s="6" t="s">
        <v>341</v>
      </c>
      <c r="B326" s="6" t="s">
        <v>342</v>
      </c>
      <c r="C326" s="6" t="s">
        <v>342</v>
      </c>
      <c r="D326" s="6" t="s">
        <v>342</v>
      </c>
      <c r="E326" s="6"/>
      <c r="F326" s="6">
        <v>324</v>
      </c>
      <c r="G326" s="6"/>
      <c r="H326" s="6"/>
      <c r="I326" s="6"/>
      <c r="J326" s="6"/>
      <c r="K326" s="6"/>
      <c r="L326" s="7"/>
      <c r="M326" s="6"/>
      <c r="N326" s="6"/>
      <c r="O326" s="6">
        <f t="shared" si="16"/>
        <v>0</v>
      </c>
      <c r="P326" s="6"/>
      <c r="Q326" s="6"/>
      <c r="R326" s="6">
        <f t="shared" si="15"/>
        <v>0</v>
      </c>
      <c r="S326" s="6"/>
      <c r="T326" s="6"/>
      <c r="U326" s="6">
        <f t="shared" si="17"/>
        <v>0</v>
      </c>
    </row>
    <row r="327" spans="1:21" hidden="1" x14ac:dyDescent="0.2">
      <c r="A327" s="6" t="s">
        <v>341</v>
      </c>
      <c r="B327" s="6" t="s">
        <v>342</v>
      </c>
      <c r="C327" s="6" t="s">
        <v>342</v>
      </c>
      <c r="D327" s="6" t="s">
        <v>342</v>
      </c>
      <c r="E327" s="6"/>
      <c r="F327" s="6">
        <v>325</v>
      </c>
      <c r="G327" s="6"/>
      <c r="H327" s="6"/>
      <c r="I327" s="6"/>
      <c r="J327" s="6"/>
      <c r="K327" s="6"/>
      <c r="L327" s="7"/>
      <c r="M327" s="6"/>
      <c r="N327" s="6"/>
      <c r="O327" s="6">
        <f t="shared" si="16"/>
        <v>0</v>
      </c>
      <c r="P327" s="6"/>
      <c r="Q327" s="6"/>
      <c r="R327" s="6">
        <f t="shared" si="15"/>
        <v>0</v>
      </c>
      <c r="S327" s="6"/>
      <c r="T327" s="6"/>
      <c r="U327" s="6">
        <f t="shared" si="17"/>
        <v>0</v>
      </c>
    </row>
    <row r="328" spans="1:21" hidden="1" x14ac:dyDescent="0.2">
      <c r="A328" s="6" t="s">
        <v>341</v>
      </c>
      <c r="B328" s="6" t="s">
        <v>342</v>
      </c>
      <c r="C328" s="6" t="s">
        <v>342</v>
      </c>
      <c r="D328" s="6" t="s">
        <v>342</v>
      </c>
      <c r="E328" s="6"/>
      <c r="F328" s="6">
        <v>326</v>
      </c>
      <c r="G328" s="6"/>
      <c r="H328" s="6"/>
      <c r="I328" s="6"/>
      <c r="J328" s="6"/>
      <c r="K328" s="6"/>
      <c r="L328" s="7"/>
      <c r="M328" s="6"/>
      <c r="N328" s="6"/>
      <c r="O328" s="6">
        <f t="shared" si="16"/>
        <v>0</v>
      </c>
      <c r="P328" s="6"/>
      <c r="Q328" s="6"/>
      <c r="R328" s="6">
        <f t="shared" si="15"/>
        <v>0</v>
      </c>
      <c r="S328" s="6"/>
      <c r="T328" s="6"/>
      <c r="U328" s="6">
        <f t="shared" si="17"/>
        <v>0</v>
      </c>
    </row>
    <row r="329" spans="1:21" hidden="1" x14ac:dyDescent="0.2">
      <c r="A329" s="6" t="s">
        <v>341</v>
      </c>
      <c r="B329" s="6" t="s">
        <v>342</v>
      </c>
      <c r="C329" s="6" t="s">
        <v>342</v>
      </c>
      <c r="D329" s="6" t="s">
        <v>342</v>
      </c>
      <c r="E329" s="6"/>
      <c r="F329" s="6">
        <v>327</v>
      </c>
      <c r="G329" s="6"/>
      <c r="H329" s="6"/>
      <c r="I329" s="6"/>
      <c r="J329" s="6"/>
      <c r="K329" s="6"/>
      <c r="L329" s="7"/>
      <c r="M329" s="6"/>
      <c r="N329" s="6"/>
      <c r="O329" s="6">
        <f t="shared" si="16"/>
        <v>0</v>
      </c>
      <c r="P329" s="6"/>
      <c r="Q329" s="6"/>
      <c r="R329" s="6">
        <f t="shared" si="15"/>
        <v>0</v>
      </c>
      <c r="S329" s="6"/>
      <c r="T329" s="6"/>
      <c r="U329" s="6">
        <f t="shared" si="17"/>
        <v>0</v>
      </c>
    </row>
    <row r="330" spans="1:21" hidden="1" x14ac:dyDescent="0.2">
      <c r="A330" s="6" t="s">
        <v>341</v>
      </c>
      <c r="B330" s="6" t="s">
        <v>342</v>
      </c>
      <c r="C330" s="6" t="s">
        <v>342</v>
      </c>
      <c r="D330" s="6" t="s">
        <v>342</v>
      </c>
      <c r="E330" s="6"/>
      <c r="F330" s="6">
        <v>328</v>
      </c>
      <c r="G330" s="6"/>
      <c r="H330" s="6"/>
      <c r="I330" s="6"/>
      <c r="J330" s="6"/>
      <c r="K330" s="6"/>
      <c r="L330" s="7"/>
      <c r="M330" s="6"/>
      <c r="N330" s="6"/>
      <c r="O330" s="6">
        <f t="shared" si="16"/>
        <v>0</v>
      </c>
      <c r="P330" s="6"/>
      <c r="Q330" s="6"/>
      <c r="R330" s="6">
        <f t="shared" si="15"/>
        <v>0</v>
      </c>
      <c r="S330" s="6"/>
      <c r="T330" s="6"/>
      <c r="U330" s="6">
        <f t="shared" si="17"/>
        <v>0</v>
      </c>
    </row>
    <row r="331" spans="1:21" hidden="1" x14ac:dyDescent="0.2">
      <c r="A331" s="6" t="s">
        <v>341</v>
      </c>
      <c r="B331" s="6" t="s">
        <v>342</v>
      </c>
      <c r="C331" s="6" t="s">
        <v>342</v>
      </c>
      <c r="D331" s="6" t="s">
        <v>342</v>
      </c>
      <c r="E331" s="6"/>
      <c r="F331" s="6">
        <v>329</v>
      </c>
      <c r="G331" s="6"/>
      <c r="H331" s="6"/>
      <c r="I331" s="6"/>
      <c r="J331" s="6"/>
      <c r="K331" s="6"/>
      <c r="L331" s="7"/>
      <c r="M331" s="6"/>
      <c r="N331" s="6"/>
      <c r="O331" s="6">
        <f t="shared" si="16"/>
        <v>0</v>
      </c>
      <c r="P331" s="6"/>
      <c r="Q331" s="6"/>
      <c r="R331" s="6">
        <f t="shared" si="15"/>
        <v>0</v>
      </c>
      <c r="S331" s="6"/>
      <c r="T331" s="6"/>
      <c r="U331" s="6">
        <f t="shared" si="17"/>
        <v>0</v>
      </c>
    </row>
    <row r="332" spans="1:21" hidden="1" x14ac:dyDescent="0.2">
      <c r="A332" s="6" t="s">
        <v>341</v>
      </c>
      <c r="B332" s="6" t="s">
        <v>342</v>
      </c>
      <c r="C332" s="6" t="s">
        <v>342</v>
      </c>
      <c r="D332" s="6" t="s">
        <v>342</v>
      </c>
      <c r="E332" s="6"/>
      <c r="F332" s="6">
        <v>330</v>
      </c>
      <c r="G332" s="6"/>
      <c r="H332" s="6"/>
      <c r="I332" s="6"/>
      <c r="J332" s="6"/>
      <c r="K332" s="6"/>
      <c r="L332" s="7"/>
      <c r="M332" s="6"/>
      <c r="N332" s="6"/>
      <c r="O332" s="6">
        <f t="shared" si="16"/>
        <v>0</v>
      </c>
      <c r="P332" s="6"/>
      <c r="Q332" s="6"/>
      <c r="R332" s="6">
        <f t="shared" si="15"/>
        <v>0</v>
      </c>
      <c r="S332" s="6"/>
      <c r="T332" s="6"/>
      <c r="U332" s="6">
        <f t="shared" si="17"/>
        <v>0</v>
      </c>
    </row>
    <row r="333" spans="1:21" hidden="1" x14ac:dyDescent="0.2">
      <c r="A333" s="6" t="s">
        <v>341</v>
      </c>
      <c r="B333" s="6" t="s">
        <v>342</v>
      </c>
      <c r="C333" s="6" t="s">
        <v>342</v>
      </c>
      <c r="D333" s="6" t="s">
        <v>342</v>
      </c>
      <c r="E333" s="6"/>
      <c r="F333" s="6">
        <v>331</v>
      </c>
      <c r="G333" s="6"/>
      <c r="H333" s="6"/>
      <c r="I333" s="6"/>
      <c r="J333" s="6"/>
      <c r="K333" s="6"/>
      <c r="L333" s="7"/>
      <c r="M333" s="6"/>
      <c r="N333" s="6"/>
      <c r="O333" s="6">
        <f t="shared" si="16"/>
        <v>0</v>
      </c>
      <c r="P333" s="6"/>
      <c r="Q333" s="6"/>
      <c r="R333" s="6">
        <f t="shared" si="15"/>
        <v>0</v>
      </c>
      <c r="S333" s="6"/>
      <c r="T333" s="6"/>
      <c r="U333" s="6">
        <f t="shared" si="17"/>
        <v>0</v>
      </c>
    </row>
    <row r="334" spans="1:21" hidden="1" x14ac:dyDescent="0.2">
      <c r="A334" s="6" t="s">
        <v>341</v>
      </c>
      <c r="B334" s="6" t="s">
        <v>342</v>
      </c>
      <c r="C334" s="6" t="s">
        <v>342</v>
      </c>
      <c r="D334" s="6" t="s">
        <v>342</v>
      </c>
      <c r="E334" s="6"/>
      <c r="F334" s="6">
        <v>332</v>
      </c>
      <c r="G334" s="6"/>
      <c r="H334" s="6"/>
      <c r="I334" s="6"/>
      <c r="J334" s="6"/>
      <c r="K334" s="6"/>
      <c r="L334" s="7"/>
      <c r="M334" s="6"/>
      <c r="N334" s="6"/>
      <c r="O334" s="6">
        <f t="shared" si="16"/>
        <v>0</v>
      </c>
      <c r="P334" s="6"/>
      <c r="Q334" s="6"/>
      <c r="R334" s="6">
        <f t="shared" si="15"/>
        <v>0</v>
      </c>
      <c r="S334" s="6"/>
      <c r="T334" s="6"/>
      <c r="U334" s="6">
        <f t="shared" si="17"/>
        <v>0</v>
      </c>
    </row>
    <row r="335" spans="1:21" hidden="1" x14ac:dyDescent="0.2">
      <c r="A335" s="6" t="s">
        <v>341</v>
      </c>
      <c r="B335" s="6" t="s">
        <v>342</v>
      </c>
      <c r="C335" s="6" t="s">
        <v>342</v>
      </c>
      <c r="D335" s="6" t="s">
        <v>342</v>
      </c>
      <c r="E335" s="6"/>
      <c r="F335" s="6">
        <v>333</v>
      </c>
      <c r="G335" s="6"/>
      <c r="H335" s="6"/>
      <c r="I335" s="6"/>
      <c r="J335" s="6"/>
      <c r="K335" s="6"/>
      <c r="L335" s="7"/>
      <c r="M335" s="6"/>
      <c r="N335" s="6"/>
      <c r="O335" s="6">
        <f t="shared" si="16"/>
        <v>0</v>
      </c>
      <c r="P335" s="6"/>
      <c r="Q335" s="6"/>
      <c r="R335" s="6">
        <f t="shared" si="15"/>
        <v>0</v>
      </c>
      <c r="S335" s="6"/>
      <c r="T335" s="6"/>
      <c r="U335" s="6">
        <f t="shared" si="17"/>
        <v>0</v>
      </c>
    </row>
    <row r="336" spans="1:21" hidden="1" x14ac:dyDescent="0.2">
      <c r="A336" s="6" t="s">
        <v>341</v>
      </c>
      <c r="B336" s="6" t="s">
        <v>342</v>
      </c>
      <c r="C336" s="6" t="s">
        <v>342</v>
      </c>
      <c r="D336" s="6" t="s">
        <v>342</v>
      </c>
      <c r="E336" s="6"/>
      <c r="F336" s="6">
        <v>334</v>
      </c>
      <c r="G336" s="6"/>
      <c r="H336" s="6"/>
      <c r="I336" s="6"/>
      <c r="J336" s="6"/>
      <c r="K336" s="6"/>
      <c r="L336" s="7"/>
      <c r="M336" s="6"/>
      <c r="N336" s="6"/>
      <c r="O336" s="6">
        <f t="shared" si="16"/>
        <v>0</v>
      </c>
      <c r="P336" s="6"/>
      <c r="Q336" s="6"/>
      <c r="R336" s="6">
        <f t="shared" si="15"/>
        <v>0</v>
      </c>
      <c r="S336" s="6"/>
      <c r="T336" s="6"/>
      <c r="U336" s="6">
        <f t="shared" si="17"/>
        <v>0</v>
      </c>
    </row>
    <row r="337" spans="1:21" hidden="1" x14ac:dyDescent="0.2">
      <c r="A337" s="6" t="s">
        <v>341</v>
      </c>
      <c r="B337" s="6" t="s">
        <v>342</v>
      </c>
      <c r="C337" s="6" t="s">
        <v>342</v>
      </c>
      <c r="D337" s="6" t="s">
        <v>342</v>
      </c>
      <c r="E337" s="6"/>
      <c r="F337" s="6">
        <v>335</v>
      </c>
      <c r="G337" s="6"/>
      <c r="H337" s="6"/>
      <c r="I337" s="6"/>
      <c r="J337" s="6"/>
      <c r="K337" s="6"/>
      <c r="L337" s="7"/>
      <c r="M337" s="6"/>
      <c r="N337" s="6"/>
      <c r="O337" s="6">
        <f t="shared" si="16"/>
        <v>0</v>
      </c>
      <c r="P337" s="6"/>
      <c r="Q337" s="6"/>
      <c r="R337" s="6">
        <f t="shared" si="15"/>
        <v>0</v>
      </c>
      <c r="S337" s="6"/>
      <c r="T337" s="6"/>
      <c r="U337" s="6">
        <f t="shared" si="17"/>
        <v>0</v>
      </c>
    </row>
    <row r="338" spans="1:21" hidden="1" x14ac:dyDescent="0.2">
      <c r="A338" s="6" t="s">
        <v>341</v>
      </c>
      <c r="B338" s="6" t="s">
        <v>342</v>
      </c>
      <c r="C338" s="6" t="s">
        <v>342</v>
      </c>
      <c r="D338" s="6" t="s">
        <v>342</v>
      </c>
      <c r="E338" s="6"/>
      <c r="F338" s="6">
        <v>336</v>
      </c>
      <c r="G338" s="6"/>
      <c r="H338" s="6"/>
      <c r="I338" s="6"/>
      <c r="J338" s="6"/>
      <c r="K338" s="6"/>
      <c r="L338" s="7"/>
      <c r="M338" s="6"/>
      <c r="N338" s="6"/>
      <c r="O338" s="6">
        <f t="shared" si="16"/>
        <v>0</v>
      </c>
      <c r="P338" s="6"/>
      <c r="Q338" s="6"/>
      <c r="R338" s="6">
        <f t="shared" si="15"/>
        <v>0</v>
      </c>
      <c r="S338" s="6"/>
      <c r="T338" s="6"/>
      <c r="U338" s="6">
        <f t="shared" si="17"/>
        <v>0</v>
      </c>
    </row>
    <row r="339" spans="1:21" hidden="1" x14ac:dyDescent="0.2">
      <c r="A339" s="6" t="s">
        <v>341</v>
      </c>
      <c r="B339" s="6" t="s">
        <v>342</v>
      </c>
      <c r="C339" s="6" t="s">
        <v>342</v>
      </c>
      <c r="D339" s="6" t="s">
        <v>342</v>
      </c>
      <c r="E339" s="6"/>
      <c r="F339" s="6">
        <v>337</v>
      </c>
      <c r="G339" s="6"/>
      <c r="H339" s="6"/>
      <c r="I339" s="6"/>
      <c r="J339" s="6"/>
      <c r="K339" s="6"/>
      <c r="L339" s="7"/>
      <c r="M339" s="6"/>
      <c r="N339" s="6"/>
      <c r="O339" s="6">
        <f t="shared" si="16"/>
        <v>0</v>
      </c>
      <c r="P339" s="6"/>
      <c r="Q339" s="6"/>
      <c r="R339" s="6">
        <f t="shared" si="15"/>
        <v>0</v>
      </c>
      <c r="S339" s="6"/>
      <c r="T339" s="6"/>
      <c r="U339" s="6">
        <f t="shared" si="17"/>
        <v>0</v>
      </c>
    </row>
    <row r="340" spans="1:21" hidden="1" x14ac:dyDescent="0.2">
      <c r="A340" s="6" t="s">
        <v>341</v>
      </c>
      <c r="B340" s="6" t="s">
        <v>342</v>
      </c>
      <c r="C340" s="6" t="s">
        <v>342</v>
      </c>
      <c r="D340" s="6" t="s">
        <v>342</v>
      </c>
      <c r="E340" s="6"/>
      <c r="F340" s="6">
        <v>338</v>
      </c>
      <c r="G340" s="6"/>
      <c r="H340" s="6"/>
      <c r="I340" s="6"/>
      <c r="J340" s="6"/>
      <c r="K340" s="6"/>
      <c r="L340" s="7"/>
      <c r="M340" s="6"/>
      <c r="N340" s="6"/>
      <c r="O340" s="6">
        <f t="shared" si="16"/>
        <v>0</v>
      </c>
      <c r="P340" s="6"/>
      <c r="Q340" s="6"/>
      <c r="R340" s="6">
        <f t="shared" si="15"/>
        <v>0</v>
      </c>
      <c r="S340" s="6"/>
      <c r="T340" s="6"/>
      <c r="U340" s="6">
        <f t="shared" si="17"/>
        <v>0</v>
      </c>
    </row>
    <row r="341" spans="1:21" hidden="1" x14ac:dyDescent="0.2">
      <c r="A341" s="6" t="s">
        <v>341</v>
      </c>
      <c r="B341" s="6" t="s">
        <v>342</v>
      </c>
      <c r="C341" s="6" t="s">
        <v>342</v>
      </c>
      <c r="D341" s="6" t="s">
        <v>342</v>
      </c>
      <c r="E341" s="6"/>
      <c r="F341" s="6">
        <v>339</v>
      </c>
      <c r="G341" s="6"/>
      <c r="H341" s="6"/>
      <c r="I341" s="6"/>
      <c r="J341" s="6"/>
      <c r="K341" s="6"/>
      <c r="L341" s="7"/>
      <c r="M341" s="6"/>
      <c r="N341" s="6"/>
      <c r="O341" s="6">
        <f t="shared" si="16"/>
        <v>0</v>
      </c>
      <c r="P341" s="6"/>
      <c r="Q341" s="6"/>
      <c r="R341" s="6">
        <f t="shared" si="15"/>
        <v>0</v>
      </c>
      <c r="S341" s="6"/>
      <c r="T341" s="6"/>
      <c r="U341" s="6">
        <f t="shared" si="17"/>
        <v>0</v>
      </c>
    </row>
    <row r="342" spans="1:21" hidden="1" x14ac:dyDescent="0.2">
      <c r="A342" s="6" t="s">
        <v>341</v>
      </c>
      <c r="B342" s="6" t="s">
        <v>342</v>
      </c>
      <c r="C342" s="6" t="s">
        <v>342</v>
      </c>
      <c r="D342" s="6" t="s">
        <v>342</v>
      </c>
      <c r="E342" s="6"/>
      <c r="F342" s="6">
        <v>340</v>
      </c>
      <c r="G342" s="6"/>
      <c r="H342" s="6"/>
      <c r="I342" s="6"/>
      <c r="J342" s="6"/>
      <c r="K342" s="6"/>
      <c r="L342" s="7"/>
      <c r="M342" s="6"/>
      <c r="N342" s="6"/>
      <c r="O342" s="6">
        <f t="shared" si="16"/>
        <v>0</v>
      </c>
      <c r="P342" s="6"/>
      <c r="Q342" s="6"/>
      <c r="R342" s="6">
        <f t="shared" si="15"/>
        <v>0</v>
      </c>
      <c r="S342" s="6"/>
      <c r="T342" s="6"/>
      <c r="U342" s="6">
        <f t="shared" si="17"/>
        <v>0</v>
      </c>
    </row>
    <row r="343" spans="1:21" hidden="1" x14ac:dyDescent="0.2">
      <c r="A343" s="6" t="s">
        <v>341</v>
      </c>
      <c r="B343" s="6" t="s">
        <v>342</v>
      </c>
      <c r="C343" s="6" t="s">
        <v>342</v>
      </c>
      <c r="D343" s="6" t="s">
        <v>342</v>
      </c>
      <c r="E343" s="6"/>
      <c r="F343" s="6">
        <v>341</v>
      </c>
      <c r="G343" s="6"/>
      <c r="H343" s="6"/>
      <c r="I343" s="6"/>
      <c r="J343" s="6"/>
      <c r="K343" s="6"/>
      <c r="L343" s="7"/>
      <c r="M343" s="6"/>
      <c r="N343" s="6"/>
      <c r="O343" s="6">
        <f t="shared" si="16"/>
        <v>0</v>
      </c>
      <c r="P343" s="6"/>
      <c r="Q343" s="6"/>
      <c r="R343" s="6">
        <f t="shared" si="15"/>
        <v>0</v>
      </c>
      <c r="S343" s="6"/>
      <c r="T343" s="6"/>
      <c r="U343" s="6">
        <f t="shared" si="17"/>
        <v>0</v>
      </c>
    </row>
    <row r="344" spans="1:21" hidden="1" x14ac:dyDescent="0.2">
      <c r="A344" s="6" t="s">
        <v>341</v>
      </c>
      <c r="B344" s="6" t="s">
        <v>342</v>
      </c>
      <c r="C344" s="6" t="s">
        <v>342</v>
      </c>
      <c r="D344" s="6" t="s">
        <v>342</v>
      </c>
      <c r="E344" s="6"/>
      <c r="F344" s="6">
        <v>342</v>
      </c>
      <c r="G344" s="6"/>
      <c r="H344" s="6"/>
      <c r="I344" s="6"/>
      <c r="J344" s="6"/>
      <c r="K344" s="6"/>
      <c r="L344" s="7"/>
      <c r="M344" s="6"/>
      <c r="N344" s="6"/>
      <c r="O344" s="6">
        <f t="shared" si="16"/>
        <v>0</v>
      </c>
      <c r="P344" s="6"/>
      <c r="Q344" s="6"/>
      <c r="R344" s="6">
        <f t="shared" si="15"/>
        <v>0</v>
      </c>
      <c r="S344" s="6"/>
      <c r="T344" s="6"/>
      <c r="U344" s="6">
        <f t="shared" si="17"/>
        <v>0</v>
      </c>
    </row>
    <row r="345" spans="1:21" hidden="1" x14ac:dyDescent="0.2">
      <c r="A345" s="6" t="s">
        <v>341</v>
      </c>
      <c r="B345" s="6" t="s">
        <v>342</v>
      </c>
      <c r="C345" s="6" t="s">
        <v>342</v>
      </c>
      <c r="D345" s="6" t="s">
        <v>342</v>
      </c>
      <c r="E345" s="6"/>
      <c r="F345" s="6">
        <v>343</v>
      </c>
      <c r="G345" s="6"/>
      <c r="H345" s="6"/>
      <c r="I345" s="6"/>
      <c r="J345" s="6"/>
      <c r="K345" s="6"/>
      <c r="L345" s="7"/>
      <c r="M345" s="6"/>
      <c r="N345" s="6"/>
      <c r="O345" s="6">
        <f t="shared" si="16"/>
        <v>0</v>
      </c>
      <c r="P345" s="6"/>
      <c r="Q345" s="6"/>
      <c r="R345" s="6">
        <f t="shared" ref="R345:R363" si="18">IFERROR(Q345-P345,"")</f>
        <v>0</v>
      </c>
      <c r="S345" s="6"/>
      <c r="T345" s="6"/>
      <c r="U345" s="6">
        <f t="shared" si="17"/>
        <v>0</v>
      </c>
    </row>
    <row r="346" spans="1:21" hidden="1" x14ac:dyDescent="0.2">
      <c r="A346" s="6" t="s">
        <v>341</v>
      </c>
      <c r="B346" s="6" t="s">
        <v>342</v>
      </c>
      <c r="C346" s="6" t="s">
        <v>342</v>
      </c>
      <c r="D346" s="6" t="s">
        <v>342</v>
      </c>
      <c r="E346" s="6"/>
      <c r="F346" s="6">
        <v>344</v>
      </c>
      <c r="G346" s="6"/>
      <c r="H346" s="6"/>
      <c r="I346" s="6"/>
      <c r="J346" s="6"/>
      <c r="K346" s="6"/>
      <c r="L346" s="7"/>
      <c r="M346" s="6"/>
      <c r="N346" s="6"/>
      <c r="O346" s="6">
        <f t="shared" si="16"/>
        <v>0</v>
      </c>
      <c r="P346" s="6"/>
      <c r="Q346" s="6"/>
      <c r="R346" s="6">
        <f t="shared" si="18"/>
        <v>0</v>
      </c>
      <c r="S346" s="6"/>
      <c r="T346" s="6"/>
      <c r="U346" s="6">
        <f t="shared" si="17"/>
        <v>0</v>
      </c>
    </row>
    <row r="347" spans="1:21" hidden="1" x14ac:dyDescent="0.2">
      <c r="A347" s="6" t="s">
        <v>341</v>
      </c>
      <c r="B347" s="6" t="s">
        <v>342</v>
      </c>
      <c r="C347" s="6" t="s">
        <v>342</v>
      </c>
      <c r="D347" s="6" t="s">
        <v>342</v>
      </c>
      <c r="E347" s="6"/>
      <c r="F347" s="6">
        <v>345</v>
      </c>
      <c r="G347" s="6"/>
      <c r="H347" s="6"/>
      <c r="I347" s="6"/>
      <c r="J347" s="6"/>
      <c r="K347" s="6"/>
      <c r="L347" s="7"/>
      <c r="M347" s="6"/>
      <c r="N347" s="6"/>
      <c r="O347" s="6">
        <f t="shared" si="16"/>
        <v>0</v>
      </c>
      <c r="P347" s="6"/>
      <c r="Q347" s="6"/>
      <c r="R347" s="6">
        <f t="shared" si="18"/>
        <v>0</v>
      </c>
      <c r="S347" s="6"/>
      <c r="T347" s="6"/>
      <c r="U347" s="6">
        <f t="shared" si="17"/>
        <v>0</v>
      </c>
    </row>
    <row r="348" spans="1:21" hidden="1" x14ac:dyDescent="0.2">
      <c r="A348" s="6" t="s">
        <v>341</v>
      </c>
      <c r="B348" s="6" t="s">
        <v>342</v>
      </c>
      <c r="C348" s="6" t="s">
        <v>342</v>
      </c>
      <c r="D348" s="6" t="s">
        <v>342</v>
      </c>
      <c r="E348" s="6"/>
      <c r="F348" s="6">
        <v>346</v>
      </c>
      <c r="G348" s="6"/>
      <c r="H348" s="6"/>
      <c r="I348" s="6"/>
      <c r="J348" s="6"/>
      <c r="K348" s="6"/>
      <c r="L348" s="7"/>
      <c r="M348" s="6"/>
      <c r="N348" s="6"/>
      <c r="O348" s="6">
        <f t="shared" si="16"/>
        <v>0</v>
      </c>
      <c r="P348" s="6"/>
      <c r="Q348" s="6"/>
      <c r="R348" s="6">
        <f t="shared" si="18"/>
        <v>0</v>
      </c>
      <c r="S348" s="6"/>
      <c r="T348" s="6"/>
      <c r="U348" s="6">
        <f t="shared" si="17"/>
        <v>0</v>
      </c>
    </row>
    <row r="349" spans="1:21" hidden="1" x14ac:dyDescent="0.2">
      <c r="A349" s="6" t="s">
        <v>341</v>
      </c>
      <c r="B349" s="6" t="s">
        <v>342</v>
      </c>
      <c r="C349" s="6" t="s">
        <v>342</v>
      </c>
      <c r="D349" s="6" t="s">
        <v>342</v>
      </c>
      <c r="E349" s="6"/>
      <c r="F349" s="6">
        <v>347</v>
      </c>
      <c r="G349" s="6"/>
      <c r="H349" s="6"/>
      <c r="I349" s="6"/>
      <c r="J349" s="6"/>
      <c r="K349" s="6"/>
      <c r="L349" s="7"/>
      <c r="M349" s="6"/>
      <c r="N349" s="6"/>
      <c r="O349" s="6">
        <f t="shared" si="16"/>
        <v>0</v>
      </c>
      <c r="P349" s="6"/>
      <c r="Q349" s="6"/>
      <c r="R349" s="6">
        <f t="shared" si="18"/>
        <v>0</v>
      </c>
      <c r="S349" s="6"/>
      <c r="T349" s="6"/>
      <c r="U349" s="6">
        <f t="shared" si="17"/>
        <v>0</v>
      </c>
    </row>
    <row r="350" spans="1:21" hidden="1" x14ac:dyDescent="0.2">
      <c r="A350" s="6" t="s">
        <v>341</v>
      </c>
      <c r="B350" s="6" t="s">
        <v>342</v>
      </c>
      <c r="C350" s="6" t="s">
        <v>342</v>
      </c>
      <c r="D350" s="6" t="s">
        <v>342</v>
      </c>
      <c r="E350" s="6"/>
      <c r="F350" s="6">
        <v>348</v>
      </c>
      <c r="G350" s="6"/>
      <c r="H350" s="6"/>
      <c r="I350" s="6"/>
      <c r="J350" s="6"/>
      <c r="K350" s="6"/>
      <c r="L350" s="7"/>
      <c r="M350" s="6"/>
      <c r="N350" s="6"/>
      <c r="O350" s="6">
        <f t="shared" si="16"/>
        <v>0</v>
      </c>
      <c r="P350" s="6"/>
      <c r="Q350" s="6"/>
      <c r="R350" s="6">
        <f t="shared" si="18"/>
        <v>0</v>
      </c>
      <c r="S350" s="6"/>
      <c r="T350" s="6"/>
      <c r="U350" s="6">
        <f t="shared" si="17"/>
        <v>0</v>
      </c>
    </row>
    <row r="351" spans="1:21" hidden="1" x14ac:dyDescent="0.2">
      <c r="A351" s="6" t="s">
        <v>341</v>
      </c>
      <c r="B351" s="6" t="s">
        <v>342</v>
      </c>
      <c r="C351" s="6" t="s">
        <v>342</v>
      </c>
      <c r="D351" s="6" t="s">
        <v>342</v>
      </c>
      <c r="E351" s="6"/>
      <c r="F351" s="6">
        <v>349</v>
      </c>
      <c r="G351" s="6"/>
      <c r="H351" s="6"/>
      <c r="I351" s="6"/>
      <c r="J351" s="6"/>
      <c r="K351" s="6"/>
      <c r="L351" s="7"/>
      <c r="M351" s="6"/>
      <c r="N351" s="6"/>
      <c r="O351" s="6">
        <f t="shared" si="16"/>
        <v>0</v>
      </c>
      <c r="P351" s="6"/>
      <c r="Q351" s="6"/>
      <c r="R351" s="6">
        <f t="shared" si="18"/>
        <v>0</v>
      </c>
      <c r="S351" s="6"/>
      <c r="T351" s="6"/>
      <c r="U351" s="6">
        <f t="shared" si="17"/>
        <v>0</v>
      </c>
    </row>
    <row r="352" spans="1:21" hidden="1" x14ac:dyDescent="0.2">
      <c r="A352" s="6" t="s">
        <v>341</v>
      </c>
      <c r="B352" s="6" t="s">
        <v>342</v>
      </c>
      <c r="C352" s="6" t="s">
        <v>342</v>
      </c>
      <c r="D352" s="6" t="s">
        <v>342</v>
      </c>
      <c r="E352" s="6"/>
      <c r="F352" s="6">
        <v>350</v>
      </c>
      <c r="G352" s="6"/>
      <c r="H352" s="6"/>
      <c r="I352" s="6"/>
      <c r="J352" s="6"/>
      <c r="K352" s="6"/>
      <c r="L352" s="7"/>
      <c r="M352" s="6"/>
      <c r="N352" s="6"/>
      <c r="O352" s="6">
        <f t="shared" si="16"/>
        <v>0</v>
      </c>
      <c r="P352" s="6"/>
      <c r="Q352" s="6"/>
      <c r="R352" s="6">
        <f t="shared" si="18"/>
        <v>0</v>
      </c>
      <c r="S352" s="6"/>
      <c r="T352" s="6"/>
      <c r="U352" s="6">
        <f t="shared" si="17"/>
        <v>0</v>
      </c>
    </row>
    <row r="353" spans="1:21" hidden="1" x14ac:dyDescent="0.2">
      <c r="A353" s="6" t="s">
        <v>341</v>
      </c>
      <c r="B353" s="6" t="s">
        <v>342</v>
      </c>
      <c r="C353" s="6" t="s">
        <v>342</v>
      </c>
      <c r="D353" s="6" t="s">
        <v>342</v>
      </c>
      <c r="E353" s="6"/>
      <c r="F353" s="6">
        <v>351</v>
      </c>
      <c r="G353" s="6"/>
      <c r="H353" s="6"/>
      <c r="I353" s="6"/>
      <c r="J353" s="6"/>
      <c r="K353" s="6"/>
      <c r="L353" s="7"/>
      <c r="M353" s="6"/>
      <c r="N353" s="6"/>
      <c r="O353" s="6">
        <f t="shared" si="16"/>
        <v>0</v>
      </c>
      <c r="P353" s="6"/>
      <c r="Q353" s="6"/>
      <c r="R353" s="6">
        <f t="shared" si="18"/>
        <v>0</v>
      </c>
      <c r="S353" s="6"/>
      <c r="T353" s="6"/>
      <c r="U353" s="6">
        <f t="shared" si="17"/>
        <v>0</v>
      </c>
    </row>
    <row r="354" spans="1:21" hidden="1" x14ac:dyDescent="0.2">
      <c r="A354" s="6" t="s">
        <v>341</v>
      </c>
      <c r="B354" s="6" t="s">
        <v>342</v>
      </c>
      <c r="C354" s="6" t="s">
        <v>342</v>
      </c>
      <c r="D354" s="6" t="s">
        <v>342</v>
      </c>
      <c r="E354" s="6"/>
      <c r="F354" s="6">
        <v>352</v>
      </c>
      <c r="G354" s="6"/>
      <c r="H354" s="6"/>
      <c r="I354" s="6"/>
      <c r="J354" s="6"/>
      <c r="K354" s="6"/>
      <c r="L354" s="7"/>
      <c r="M354" s="6"/>
      <c r="N354" s="6"/>
      <c r="O354" s="6">
        <f t="shared" si="16"/>
        <v>0</v>
      </c>
      <c r="P354" s="6"/>
      <c r="Q354" s="6"/>
      <c r="R354" s="6">
        <f t="shared" si="18"/>
        <v>0</v>
      </c>
      <c r="S354" s="6"/>
      <c r="T354" s="6"/>
      <c r="U354" s="6">
        <f t="shared" si="17"/>
        <v>0</v>
      </c>
    </row>
    <row r="355" spans="1:21" hidden="1" x14ac:dyDescent="0.2">
      <c r="A355" s="6" t="s">
        <v>341</v>
      </c>
      <c r="B355" s="6" t="s">
        <v>342</v>
      </c>
      <c r="C355" s="6" t="s">
        <v>342</v>
      </c>
      <c r="D355" s="6" t="s">
        <v>342</v>
      </c>
      <c r="E355" s="6"/>
      <c r="F355" s="6">
        <v>353</v>
      </c>
      <c r="G355" s="6"/>
      <c r="H355" s="6"/>
      <c r="I355" s="6"/>
      <c r="J355" s="6"/>
      <c r="K355" s="6"/>
      <c r="L355" s="7"/>
      <c r="M355" s="6"/>
      <c r="N355" s="6"/>
      <c r="O355" s="6">
        <f t="shared" si="16"/>
        <v>0</v>
      </c>
      <c r="P355" s="6"/>
      <c r="Q355" s="6"/>
      <c r="R355" s="6">
        <f t="shared" si="18"/>
        <v>0</v>
      </c>
      <c r="S355" s="6"/>
      <c r="T355" s="6"/>
      <c r="U355" s="6">
        <f t="shared" si="17"/>
        <v>0</v>
      </c>
    </row>
    <row r="356" spans="1:21" hidden="1" x14ac:dyDescent="0.2">
      <c r="A356" s="6" t="s">
        <v>341</v>
      </c>
      <c r="B356" s="6" t="s">
        <v>342</v>
      </c>
      <c r="C356" s="6" t="s">
        <v>342</v>
      </c>
      <c r="D356" s="6" t="s">
        <v>342</v>
      </c>
      <c r="E356" s="6"/>
      <c r="F356" s="6">
        <v>354</v>
      </c>
      <c r="G356" s="6"/>
      <c r="H356" s="6"/>
      <c r="I356" s="6"/>
      <c r="J356" s="6"/>
      <c r="K356" s="6"/>
      <c r="L356" s="7"/>
      <c r="M356" s="6"/>
      <c r="N356" s="6"/>
      <c r="O356" s="6">
        <f t="shared" si="16"/>
        <v>0</v>
      </c>
      <c r="P356" s="6"/>
      <c r="Q356" s="6"/>
      <c r="R356" s="6">
        <f t="shared" si="18"/>
        <v>0</v>
      </c>
      <c r="S356" s="6"/>
      <c r="T356" s="6"/>
      <c r="U356" s="6">
        <f t="shared" si="17"/>
        <v>0</v>
      </c>
    </row>
    <row r="357" spans="1:21" hidden="1" x14ac:dyDescent="0.2">
      <c r="A357" s="6" t="s">
        <v>341</v>
      </c>
      <c r="B357" s="6" t="s">
        <v>342</v>
      </c>
      <c r="C357" s="6" t="s">
        <v>342</v>
      </c>
      <c r="D357" s="6" t="s">
        <v>342</v>
      </c>
      <c r="E357" s="6"/>
      <c r="F357" s="6">
        <v>355</v>
      </c>
      <c r="G357" s="6"/>
      <c r="H357" s="6"/>
      <c r="I357" s="6"/>
      <c r="J357" s="6"/>
      <c r="K357" s="6"/>
      <c r="L357" s="7"/>
      <c r="M357" s="6"/>
      <c r="N357" s="6"/>
      <c r="O357" s="6">
        <f t="shared" si="16"/>
        <v>0</v>
      </c>
      <c r="P357" s="6"/>
      <c r="Q357" s="6"/>
      <c r="R357" s="6">
        <f t="shared" si="18"/>
        <v>0</v>
      </c>
      <c r="S357" s="6"/>
      <c r="T357" s="6"/>
      <c r="U357" s="6">
        <f t="shared" si="17"/>
        <v>0</v>
      </c>
    </row>
    <row r="358" spans="1:21" hidden="1" x14ac:dyDescent="0.2">
      <c r="A358" s="6" t="s">
        <v>341</v>
      </c>
      <c r="B358" s="6" t="s">
        <v>342</v>
      </c>
      <c r="C358" s="6" t="s">
        <v>342</v>
      </c>
      <c r="D358" s="6" t="s">
        <v>342</v>
      </c>
      <c r="E358" s="6"/>
      <c r="F358" s="6">
        <v>356</v>
      </c>
      <c r="G358" s="6"/>
      <c r="H358" s="6"/>
      <c r="I358" s="6"/>
      <c r="J358" s="6"/>
      <c r="K358" s="6"/>
      <c r="L358" s="7"/>
      <c r="M358" s="6"/>
      <c r="N358" s="6"/>
      <c r="O358" s="6">
        <f t="shared" si="16"/>
        <v>0</v>
      </c>
      <c r="P358" s="6"/>
      <c r="Q358" s="6"/>
      <c r="R358" s="6">
        <f t="shared" si="18"/>
        <v>0</v>
      </c>
      <c r="S358" s="6"/>
      <c r="T358" s="6"/>
      <c r="U358" s="6">
        <f t="shared" si="17"/>
        <v>0</v>
      </c>
    </row>
    <row r="359" spans="1:21" hidden="1" x14ac:dyDescent="0.2">
      <c r="A359" s="6" t="s">
        <v>341</v>
      </c>
      <c r="B359" s="6" t="s">
        <v>342</v>
      </c>
      <c r="C359" s="6" t="s">
        <v>342</v>
      </c>
      <c r="D359" s="6" t="s">
        <v>342</v>
      </c>
      <c r="E359" s="6"/>
      <c r="F359" s="6">
        <v>357</v>
      </c>
      <c r="G359" s="6"/>
      <c r="H359" s="6"/>
      <c r="I359" s="6"/>
      <c r="J359" s="6"/>
      <c r="K359" s="6"/>
      <c r="L359" s="7"/>
      <c r="M359" s="6"/>
      <c r="N359" s="6"/>
      <c r="O359" s="6">
        <f t="shared" si="16"/>
        <v>0</v>
      </c>
      <c r="P359" s="6"/>
      <c r="Q359" s="6"/>
      <c r="R359" s="6">
        <f t="shared" si="18"/>
        <v>0</v>
      </c>
      <c r="S359" s="6"/>
      <c r="T359" s="6"/>
      <c r="U359" s="6">
        <f t="shared" si="17"/>
        <v>0</v>
      </c>
    </row>
    <row r="360" spans="1:21" hidden="1" x14ac:dyDescent="0.2">
      <c r="A360" s="6" t="s">
        <v>341</v>
      </c>
      <c r="B360" s="6" t="s">
        <v>342</v>
      </c>
      <c r="C360" s="6" t="s">
        <v>342</v>
      </c>
      <c r="D360" s="6" t="s">
        <v>342</v>
      </c>
      <c r="E360" s="6"/>
      <c r="F360" s="6">
        <v>358</v>
      </c>
      <c r="G360" s="6"/>
      <c r="H360" s="6"/>
      <c r="I360" s="6"/>
      <c r="J360" s="6"/>
      <c r="K360" s="6"/>
      <c r="L360" s="7"/>
      <c r="M360" s="6"/>
      <c r="N360" s="6"/>
      <c r="O360" s="6">
        <f t="shared" si="16"/>
        <v>0</v>
      </c>
      <c r="P360" s="6"/>
      <c r="Q360" s="6"/>
      <c r="R360" s="6">
        <f t="shared" si="18"/>
        <v>0</v>
      </c>
      <c r="S360" s="6"/>
      <c r="T360" s="6"/>
      <c r="U360" s="6">
        <f t="shared" si="17"/>
        <v>0</v>
      </c>
    </row>
    <row r="361" spans="1:21" hidden="1" x14ac:dyDescent="0.2">
      <c r="A361" s="6" t="s">
        <v>341</v>
      </c>
      <c r="B361" s="6" t="s">
        <v>342</v>
      </c>
      <c r="C361" s="6" t="s">
        <v>342</v>
      </c>
      <c r="D361" s="6" t="s">
        <v>342</v>
      </c>
      <c r="E361" s="6"/>
      <c r="F361" s="6">
        <v>359</v>
      </c>
      <c r="G361" s="6"/>
      <c r="H361" s="6"/>
      <c r="I361" s="6"/>
      <c r="J361" s="6"/>
      <c r="K361" s="6"/>
      <c r="L361" s="7"/>
      <c r="M361" s="6"/>
      <c r="N361" s="6"/>
      <c r="O361" s="6">
        <f t="shared" si="16"/>
        <v>0</v>
      </c>
      <c r="P361" s="6"/>
      <c r="Q361" s="6"/>
      <c r="R361" s="6">
        <f t="shared" si="18"/>
        <v>0</v>
      </c>
      <c r="S361" s="6"/>
      <c r="T361" s="6"/>
      <c r="U361" s="6">
        <f t="shared" si="17"/>
        <v>0</v>
      </c>
    </row>
    <row r="362" spans="1:21" hidden="1" x14ac:dyDescent="0.2">
      <c r="A362" s="6" t="s">
        <v>341</v>
      </c>
      <c r="B362" s="6" t="s">
        <v>342</v>
      </c>
      <c r="C362" s="6" t="s">
        <v>342</v>
      </c>
      <c r="D362" s="6" t="s">
        <v>342</v>
      </c>
      <c r="E362" s="6"/>
      <c r="F362" s="6">
        <v>360</v>
      </c>
      <c r="G362" s="6"/>
      <c r="H362" s="6"/>
      <c r="I362" s="6"/>
      <c r="J362" s="6"/>
      <c r="K362" s="6"/>
      <c r="L362" s="7"/>
      <c r="M362" s="6"/>
      <c r="N362" s="6"/>
      <c r="O362" s="6">
        <f t="shared" si="16"/>
        <v>0</v>
      </c>
      <c r="P362" s="6"/>
      <c r="Q362" s="6"/>
      <c r="R362" s="6">
        <f t="shared" si="18"/>
        <v>0</v>
      </c>
      <c r="S362" s="6"/>
      <c r="T362" s="6"/>
      <c r="U362" s="6">
        <f t="shared" si="17"/>
        <v>0</v>
      </c>
    </row>
    <row r="363" spans="1:21" hidden="1" x14ac:dyDescent="0.2">
      <c r="A363" s="6" t="s">
        <v>341</v>
      </c>
      <c r="B363" s="6" t="s">
        <v>342</v>
      </c>
      <c r="C363" s="6" t="s">
        <v>342</v>
      </c>
      <c r="D363" s="6" t="s">
        <v>342</v>
      </c>
      <c r="E363" s="6"/>
      <c r="F363" s="6">
        <v>361</v>
      </c>
      <c r="G363" s="6"/>
      <c r="H363" s="6"/>
      <c r="I363" s="6"/>
      <c r="J363" s="6"/>
      <c r="K363" s="6"/>
      <c r="L363" s="7"/>
      <c r="M363" s="6"/>
      <c r="N363" s="6"/>
      <c r="O363" s="6">
        <f t="shared" si="16"/>
        <v>0</v>
      </c>
      <c r="P363" s="6"/>
      <c r="Q363" s="6"/>
      <c r="R363" s="6">
        <f t="shared" si="18"/>
        <v>0</v>
      </c>
      <c r="S363" s="6"/>
      <c r="T363" s="6"/>
      <c r="U363" s="6">
        <f t="shared" si="17"/>
        <v>0</v>
      </c>
    </row>
  </sheetData>
  <autoFilter ref="A1:U363">
    <filterColumn colId="4">
      <customFilters>
        <customFilter operator="notEqual" val=" "/>
      </customFilters>
    </filterColumn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</autoFilter>
  <mergeCells count="15">
    <mergeCell ref="M1:O1"/>
    <mergeCell ref="P1:R1"/>
    <mergeCell ref="S1:U1"/>
    <mergeCell ref="G1:G2"/>
    <mergeCell ref="H1:H2"/>
    <mergeCell ref="I1:I2"/>
    <mergeCell ref="J1:J2"/>
    <mergeCell ref="K1:K2"/>
    <mergeCell ref="L1:L2"/>
    <mergeCell ref="F1:F2"/>
    <mergeCell ref="A1:A2"/>
    <mergeCell ref="B1:B2"/>
    <mergeCell ref="C1:C2"/>
    <mergeCell ref="D1:D2"/>
    <mergeCell ref="E1:E2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outlinePr summaryBelow="0" summaryRight="0"/>
  </sheetPr>
  <dimension ref="A1:EC48"/>
  <sheetViews>
    <sheetView workbookViewId="0">
      <pane xSplit="1" ySplit="1" topLeftCell="B2" activePane="bottomRight" state="frozen"/>
      <selection activeCell="C24" sqref="C24"/>
      <selection pane="topRight" activeCell="C24" sqref="C24"/>
      <selection pane="bottomLeft" activeCell="C24" sqref="C24"/>
      <selection pane="bottomRight" activeCell="C24" sqref="C24"/>
    </sheetView>
  </sheetViews>
  <sheetFormatPr defaultRowHeight="12.75" x14ac:dyDescent="0.2"/>
  <cols>
    <col min="2" max="2" width="16.28515625" bestFit="1" customWidth="1"/>
    <col min="3" max="12" width="0" hidden="1" customWidth="1"/>
    <col min="15" max="23" width="9.140625" customWidth="1"/>
    <col min="24" max="24" width="13.140625" bestFit="1" customWidth="1"/>
    <col min="25" max="25" width="12.28515625" bestFit="1" customWidth="1"/>
    <col min="26" max="26" width="4.85546875" bestFit="1" customWidth="1"/>
    <col min="27" max="27" width="11.42578125" bestFit="1" customWidth="1"/>
    <col min="28" max="28" width="11.7109375" bestFit="1" customWidth="1"/>
    <col min="29" max="29" width="10.42578125" bestFit="1" customWidth="1"/>
    <col min="30" max="30" width="12.7109375" bestFit="1" customWidth="1"/>
    <col min="31" max="31" width="11.28515625" bestFit="1" customWidth="1"/>
    <col min="32" max="32" width="14.28515625" bestFit="1" customWidth="1"/>
    <col min="33" max="33" width="11.7109375" bestFit="1" customWidth="1"/>
    <col min="34" max="34" width="9" bestFit="1" customWidth="1"/>
    <col min="35" max="35" width="13.85546875" bestFit="1" customWidth="1"/>
    <col min="36" max="36" width="5.42578125" bestFit="1" customWidth="1"/>
    <col min="37" max="37" width="12.85546875" bestFit="1" customWidth="1"/>
    <col min="38" max="38" width="8.7109375" bestFit="1" customWidth="1"/>
    <col min="39" max="39" width="11" bestFit="1" customWidth="1"/>
    <col min="40" max="40" width="4.42578125" bestFit="1" customWidth="1"/>
    <col min="41" max="41" width="4.85546875" bestFit="1" customWidth="1"/>
    <col min="42" max="42" width="13.7109375" bestFit="1" customWidth="1"/>
    <col min="43" max="43" width="14" bestFit="1" customWidth="1"/>
    <col min="44" max="44" width="5.7109375" bestFit="1" customWidth="1"/>
    <col min="45" max="45" width="5.28515625" bestFit="1" customWidth="1"/>
    <col min="46" max="46" width="5.5703125" bestFit="1" customWidth="1"/>
    <col min="47" max="48" width="4.28515625" bestFit="1" customWidth="1"/>
    <col min="49" max="49" width="5.5703125" bestFit="1" customWidth="1"/>
    <col min="50" max="50" width="5.42578125" bestFit="1" customWidth="1"/>
    <col min="51" max="53" width="5.28515625" bestFit="1" customWidth="1"/>
    <col min="54" max="54" width="5.5703125" bestFit="1" customWidth="1"/>
    <col min="55" max="55" width="6.5703125" bestFit="1" customWidth="1"/>
    <col min="56" max="56" width="5.5703125" bestFit="1" customWidth="1"/>
    <col min="57" max="57" width="5.42578125" bestFit="1" customWidth="1"/>
    <col min="58" max="58" width="5.5703125" bestFit="1" customWidth="1"/>
    <col min="59" max="59" width="4.28515625" bestFit="1" customWidth="1"/>
    <col min="60" max="61" width="5.42578125" bestFit="1" customWidth="1"/>
    <col min="62" max="62" width="8.5703125" bestFit="1" customWidth="1"/>
    <col min="63" max="63" width="9.7109375" bestFit="1" customWidth="1"/>
    <col min="64" max="64" width="8.5703125" bestFit="1" customWidth="1"/>
    <col min="65" max="65" width="9.28515625" bestFit="1" customWidth="1"/>
    <col min="66" max="66" width="14.42578125" bestFit="1" customWidth="1"/>
    <col min="67" max="68" width="15.28515625" bestFit="1" customWidth="1"/>
    <col min="69" max="69" width="15" bestFit="1" customWidth="1"/>
    <col min="70" max="70" width="15.28515625" bestFit="1" customWidth="1"/>
    <col min="71" max="71" width="13.7109375" bestFit="1" customWidth="1"/>
    <col min="72" max="72" width="8.5703125" bestFit="1" customWidth="1"/>
    <col min="73" max="73" width="9.7109375" bestFit="1" customWidth="1"/>
    <col min="74" max="74" width="8.5703125" bestFit="1" customWidth="1"/>
    <col min="75" max="75" width="9.28515625" bestFit="1" customWidth="1"/>
    <col min="76" max="76" width="14.42578125" bestFit="1" customWidth="1"/>
    <col min="77" max="78" width="15.28515625" bestFit="1" customWidth="1"/>
    <col min="79" max="79" width="15" bestFit="1" customWidth="1"/>
    <col min="80" max="80" width="15.28515625" bestFit="1" customWidth="1"/>
    <col min="81" max="81" width="13.7109375" bestFit="1" customWidth="1"/>
    <col min="82" max="82" width="8.5703125" bestFit="1" customWidth="1"/>
    <col min="83" max="83" width="9.7109375" bestFit="1" customWidth="1"/>
    <col min="84" max="84" width="8.5703125" bestFit="1" customWidth="1"/>
    <col min="85" max="85" width="9.28515625" bestFit="1" customWidth="1"/>
    <col min="86" max="86" width="14.42578125" bestFit="1" customWidth="1"/>
    <col min="87" max="88" width="15.28515625" bestFit="1" customWidth="1"/>
    <col min="89" max="89" width="15" bestFit="1" customWidth="1"/>
    <col min="90" max="90" width="15.28515625" bestFit="1" customWidth="1"/>
    <col min="91" max="91" width="13.7109375" bestFit="1" customWidth="1"/>
    <col min="92" max="92" width="8.5703125" bestFit="1" customWidth="1"/>
    <col min="93" max="93" width="9.7109375" bestFit="1" customWidth="1"/>
    <col min="94" max="94" width="8.5703125" bestFit="1" customWidth="1"/>
    <col min="95" max="95" width="9.28515625" bestFit="1" customWidth="1"/>
    <col min="96" max="96" width="14.42578125" bestFit="1" customWidth="1"/>
    <col min="97" max="98" width="15.28515625" bestFit="1" customWidth="1"/>
    <col min="99" max="99" width="15" bestFit="1" customWidth="1"/>
    <col min="100" max="100" width="15.28515625" bestFit="1" customWidth="1"/>
    <col min="101" max="101" width="13.7109375" bestFit="1" customWidth="1"/>
    <col min="102" max="102" width="8.5703125" bestFit="1" customWidth="1"/>
    <col min="103" max="103" width="9.7109375" bestFit="1" customWidth="1"/>
    <col min="104" max="104" width="8.5703125" bestFit="1" customWidth="1"/>
    <col min="105" max="105" width="9.28515625" bestFit="1" customWidth="1"/>
    <col min="106" max="106" width="14.42578125" bestFit="1" customWidth="1"/>
    <col min="107" max="108" width="15.28515625" bestFit="1" customWidth="1"/>
    <col min="109" max="109" width="15" bestFit="1" customWidth="1"/>
    <col min="110" max="110" width="15.28515625" bestFit="1" customWidth="1"/>
    <col min="111" max="111" width="13.7109375" bestFit="1" customWidth="1"/>
    <col min="112" max="112" width="11.5703125" bestFit="1" customWidth="1"/>
    <col min="113" max="113" width="5.7109375" bestFit="1" customWidth="1"/>
    <col min="114" max="114" width="10.5703125" bestFit="1" customWidth="1"/>
    <col min="115" max="115" width="9.42578125" bestFit="1" customWidth="1"/>
    <col min="116" max="116" width="11.85546875" bestFit="1" customWidth="1"/>
    <col min="117" max="117" width="10.7109375" bestFit="1" customWidth="1"/>
    <col min="118" max="118" width="10.28515625" bestFit="1" customWidth="1"/>
    <col min="119" max="119" width="15" bestFit="1" customWidth="1"/>
    <col min="120" max="120" width="6.42578125" bestFit="1" customWidth="1"/>
    <col min="121" max="121" width="20" bestFit="1" customWidth="1"/>
    <col min="122" max="122" width="11.42578125" bestFit="1" customWidth="1"/>
    <col min="123" max="123" width="16.5703125" bestFit="1" customWidth="1"/>
    <col min="124" max="124" width="15.42578125" bestFit="1" customWidth="1"/>
    <col min="125" max="125" width="8.140625" bestFit="1" customWidth="1"/>
    <col min="126" max="126" width="8.42578125" bestFit="1" customWidth="1"/>
    <col min="127" max="127" width="12" bestFit="1" customWidth="1"/>
    <col min="128" max="128" width="12.7109375" bestFit="1" customWidth="1"/>
    <col min="129" max="129" width="13.140625" bestFit="1" customWidth="1"/>
    <col min="130" max="130" width="11.85546875" bestFit="1" customWidth="1"/>
    <col min="131" max="131" width="7" bestFit="1" customWidth="1"/>
    <col min="132" max="132" width="5.5703125" bestFit="1" customWidth="1"/>
    <col min="133" max="133" width="18.140625" bestFit="1" customWidth="1"/>
  </cols>
  <sheetData>
    <row r="1" spans="1:13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1" t="s">
        <v>47</v>
      </c>
      <c r="AW1" s="1" t="s">
        <v>48</v>
      </c>
      <c r="AX1" s="1" t="s">
        <v>49</v>
      </c>
      <c r="AY1" s="2" t="s">
        <v>50</v>
      </c>
      <c r="AZ1" s="2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</row>
    <row r="2" spans="1:133" x14ac:dyDescent="0.2">
      <c r="A2" s="1" t="s">
        <v>133</v>
      </c>
      <c r="B2" s="1" t="s">
        <v>134</v>
      </c>
      <c r="C2" s="1"/>
      <c r="D2" s="1"/>
      <c r="E2" s="1"/>
      <c r="F2" s="1"/>
      <c r="G2" s="1"/>
      <c r="H2" s="1"/>
      <c r="I2" s="1"/>
      <c r="J2" s="1"/>
      <c r="K2" s="1"/>
      <c r="L2" s="1"/>
      <c r="M2" s="1" t="s">
        <v>135</v>
      </c>
      <c r="N2" s="1"/>
      <c r="O2" s="1"/>
      <c r="P2" s="1"/>
      <c r="Q2" s="1"/>
      <c r="R2" s="1"/>
      <c r="S2" s="1"/>
      <c r="T2" s="1"/>
      <c r="U2" s="1"/>
      <c r="V2" s="1"/>
      <c r="W2" s="1"/>
      <c r="X2" s="1" t="s">
        <v>136</v>
      </c>
      <c r="Y2" s="1" t="s">
        <v>137</v>
      </c>
      <c r="Z2" s="1" t="s">
        <v>137</v>
      </c>
      <c r="AA2" s="1" t="s">
        <v>138</v>
      </c>
      <c r="AB2" s="1" t="s">
        <v>137</v>
      </c>
      <c r="AC2" s="1" t="s">
        <v>139</v>
      </c>
      <c r="AD2" s="1" t="s">
        <v>137</v>
      </c>
      <c r="AE2" s="1" t="s">
        <v>140</v>
      </c>
      <c r="AF2" s="1" t="s">
        <v>141</v>
      </c>
      <c r="AG2" s="1" t="s">
        <v>142</v>
      </c>
      <c r="AH2" s="1" t="s">
        <v>143</v>
      </c>
      <c r="AI2" s="1" t="s">
        <v>144</v>
      </c>
      <c r="AJ2" s="1" t="s">
        <v>145</v>
      </c>
      <c r="AK2" s="1" t="s">
        <v>138</v>
      </c>
      <c r="AL2" s="1" t="s">
        <v>146</v>
      </c>
      <c r="AM2" s="1" t="s">
        <v>147</v>
      </c>
      <c r="AN2" s="1" t="s">
        <v>148</v>
      </c>
      <c r="AO2" s="1" t="s">
        <v>149</v>
      </c>
      <c r="AP2" s="1" t="s">
        <v>150</v>
      </c>
      <c r="AQ2" s="1" t="s">
        <v>146</v>
      </c>
      <c r="AR2" s="1" t="s">
        <v>151</v>
      </c>
      <c r="AS2" s="1" t="s">
        <v>152</v>
      </c>
      <c r="AT2" s="1" t="s">
        <v>138</v>
      </c>
      <c r="AU2" s="1" t="s">
        <v>153</v>
      </c>
      <c r="AV2" s="1" t="s">
        <v>146</v>
      </c>
      <c r="AW2" s="1" t="s">
        <v>146</v>
      </c>
      <c r="AX2" s="1" t="s">
        <v>154</v>
      </c>
      <c r="AY2" s="1" t="s">
        <v>155</v>
      </c>
      <c r="AZ2" s="1" t="s">
        <v>156</v>
      </c>
      <c r="BA2" s="1" t="s">
        <v>154</v>
      </c>
      <c r="BB2" s="1" t="s">
        <v>155</v>
      </c>
      <c r="BC2" s="1" t="s">
        <v>143</v>
      </c>
      <c r="BD2" s="1" t="s">
        <v>146</v>
      </c>
      <c r="BE2" s="1" t="s">
        <v>157</v>
      </c>
      <c r="BF2" s="1" t="s">
        <v>138</v>
      </c>
      <c r="BG2" s="1" t="s">
        <v>158</v>
      </c>
      <c r="BH2" s="1" t="s">
        <v>159</v>
      </c>
      <c r="BI2" s="1" t="s">
        <v>160</v>
      </c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 t="s">
        <v>161</v>
      </c>
    </row>
    <row r="3" spans="1:133" x14ac:dyDescent="0.2">
      <c r="A3" s="1" t="s">
        <v>162</v>
      </c>
      <c r="B3" s="1" t="s">
        <v>163</v>
      </c>
      <c r="C3" s="1"/>
      <c r="D3" s="1"/>
      <c r="E3" s="1"/>
      <c r="F3" s="1"/>
      <c r="G3" s="1"/>
      <c r="H3" s="1"/>
      <c r="I3" s="1"/>
      <c r="J3" s="1"/>
      <c r="K3" s="1"/>
      <c r="L3" s="1"/>
      <c r="M3" s="1" t="s">
        <v>164</v>
      </c>
      <c r="N3" s="1"/>
      <c r="O3" s="1"/>
      <c r="P3" s="1"/>
      <c r="Q3" s="1"/>
      <c r="R3" s="1"/>
      <c r="S3" s="1"/>
      <c r="T3" s="1"/>
      <c r="U3" s="1"/>
      <c r="V3" s="1"/>
      <c r="W3" s="1"/>
      <c r="X3" s="1" t="s">
        <v>136</v>
      </c>
      <c r="Y3" s="1" t="s">
        <v>137</v>
      </c>
      <c r="Z3" s="1" t="s">
        <v>137</v>
      </c>
      <c r="AA3" s="1" t="s">
        <v>138</v>
      </c>
      <c r="AB3" s="1" t="s">
        <v>137</v>
      </c>
      <c r="AC3" s="1" t="s">
        <v>139</v>
      </c>
      <c r="AD3" s="1" t="s">
        <v>137</v>
      </c>
      <c r="AE3" s="1" t="s">
        <v>140</v>
      </c>
      <c r="AF3" s="1" t="s">
        <v>141</v>
      </c>
      <c r="AG3" s="1" t="s">
        <v>142</v>
      </c>
      <c r="AH3" s="1" t="s">
        <v>143</v>
      </c>
      <c r="AI3" s="1" t="s">
        <v>144</v>
      </c>
      <c r="AJ3" s="1" t="s">
        <v>145</v>
      </c>
      <c r="AK3" s="1" t="s">
        <v>138</v>
      </c>
      <c r="AL3" s="1" t="s">
        <v>146</v>
      </c>
      <c r="AM3" s="1" t="s">
        <v>147</v>
      </c>
      <c r="AN3" s="1" t="s">
        <v>148</v>
      </c>
      <c r="AO3" s="1" t="s">
        <v>149</v>
      </c>
      <c r="AP3" s="1" t="s">
        <v>150</v>
      </c>
      <c r="AQ3" s="1" t="s">
        <v>146</v>
      </c>
      <c r="AR3" s="1" t="s">
        <v>151</v>
      </c>
      <c r="AS3" s="1" t="s">
        <v>152</v>
      </c>
      <c r="AT3" s="1" t="s">
        <v>138</v>
      </c>
      <c r="AU3" s="1" t="s">
        <v>153</v>
      </c>
      <c r="AV3" s="1" t="s">
        <v>146</v>
      </c>
      <c r="AW3" s="1" t="s">
        <v>146</v>
      </c>
      <c r="AX3" s="1" t="s">
        <v>154</v>
      </c>
      <c r="AY3" s="1" t="s">
        <v>155</v>
      </c>
      <c r="AZ3" s="1" t="s">
        <v>156</v>
      </c>
      <c r="BA3" s="1" t="s">
        <v>154</v>
      </c>
      <c r="BB3" s="1" t="s">
        <v>155</v>
      </c>
      <c r="BC3" s="1" t="s">
        <v>143</v>
      </c>
      <c r="BD3" s="1" t="s">
        <v>146</v>
      </c>
      <c r="BE3" s="1" t="s">
        <v>157</v>
      </c>
      <c r="BF3" s="1" t="s">
        <v>138</v>
      </c>
      <c r="BG3" s="1" t="s">
        <v>158</v>
      </c>
      <c r="BH3" s="1" t="s">
        <v>159</v>
      </c>
      <c r="BI3" s="1" t="s">
        <v>160</v>
      </c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 t="s">
        <v>161</v>
      </c>
    </row>
    <row r="4" spans="1:133" x14ac:dyDescent="0.2">
      <c r="A4" s="1" t="s">
        <v>152</v>
      </c>
      <c r="B4" s="1" t="s">
        <v>165</v>
      </c>
      <c r="C4" s="1"/>
      <c r="D4" s="1"/>
      <c r="E4" s="1"/>
      <c r="F4" s="1"/>
      <c r="G4" s="1"/>
      <c r="H4" s="1"/>
      <c r="I4" s="1"/>
      <c r="J4" s="1"/>
      <c r="K4" s="1"/>
      <c r="L4" s="1"/>
      <c r="M4" s="1" t="s">
        <v>135</v>
      </c>
      <c r="N4" s="1"/>
      <c r="O4" s="1"/>
      <c r="P4" s="1"/>
      <c r="Q4" s="1"/>
      <c r="R4" s="1"/>
      <c r="S4" s="1"/>
      <c r="T4" s="1"/>
      <c r="U4" s="1"/>
      <c r="V4" s="1"/>
      <c r="W4" s="1"/>
      <c r="X4" s="1" t="s">
        <v>136</v>
      </c>
      <c r="Y4" s="1" t="s">
        <v>137</v>
      </c>
      <c r="Z4" s="1" t="s">
        <v>137</v>
      </c>
      <c r="AA4" s="1" t="s">
        <v>138</v>
      </c>
      <c r="AB4" s="1" t="s">
        <v>137</v>
      </c>
      <c r="AC4" s="1" t="s">
        <v>139</v>
      </c>
      <c r="AD4" s="1" t="s">
        <v>137</v>
      </c>
      <c r="AE4" s="1" t="s">
        <v>140</v>
      </c>
      <c r="AF4" s="1" t="s">
        <v>141</v>
      </c>
      <c r="AG4" s="1" t="s">
        <v>142</v>
      </c>
      <c r="AH4" s="1" t="s">
        <v>143</v>
      </c>
      <c r="AI4" s="1" t="s">
        <v>144</v>
      </c>
      <c r="AJ4" s="1" t="s">
        <v>145</v>
      </c>
      <c r="AK4" s="1" t="s">
        <v>138</v>
      </c>
      <c r="AL4" s="1" t="s">
        <v>146</v>
      </c>
      <c r="AM4" s="1" t="s">
        <v>147</v>
      </c>
      <c r="AN4" s="1" t="s">
        <v>148</v>
      </c>
      <c r="AO4" s="1" t="s">
        <v>149</v>
      </c>
      <c r="AP4" s="1" t="s">
        <v>150</v>
      </c>
      <c r="AQ4" s="1" t="s">
        <v>146</v>
      </c>
      <c r="AR4" s="1" t="s">
        <v>151</v>
      </c>
      <c r="AS4" s="1" t="s">
        <v>152</v>
      </c>
      <c r="AT4" s="1" t="s">
        <v>138</v>
      </c>
      <c r="AU4" s="1" t="s">
        <v>153</v>
      </c>
      <c r="AV4" s="1" t="s">
        <v>146</v>
      </c>
      <c r="AW4" s="1" t="s">
        <v>146</v>
      </c>
      <c r="AX4" s="1" t="s">
        <v>154</v>
      </c>
      <c r="AY4" s="1" t="s">
        <v>155</v>
      </c>
      <c r="AZ4" s="1" t="s">
        <v>156</v>
      </c>
      <c r="BA4" s="1" t="s">
        <v>154</v>
      </c>
      <c r="BB4" s="1" t="s">
        <v>155</v>
      </c>
      <c r="BC4" s="1" t="s">
        <v>143</v>
      </c>
      <c r="BD4" s="1" t="s">
        <v>146</v>
      </c>
      <c r="BE4" s="1" t="s">
        <v>157</v>
      </c>
      <c r="BF4" s="1" t="s">
        <v>138</v>
      </c>
      <c r="BG4" s="1" t="s">
        <v>158</v>
      </c>
      <c r="BH4" s="1" t="s">
        <v>159</v>
      </c>
      <c r="BI4" s="1" t="s">
        <v>160</v>
      </c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 t="s">
        <v>161</v>
      </c>
    </row>
    <row r="5" spans="1:133" x14ac:dyDescent="0.2">
      <c r="A5" s="1" t="s">
        <v>143</v>
      </c>
      <c r="B5" s="1" t="s">
        <v>166</v>
      </c>
      <c r="C5" s="1"/>
      <c r="D5" s="1"/>
      <c r="E5" s="1"/>
      <c r="F5" s="1"/>
      <c r="G5" s="1"/>
      <c r="H5" s="1"/>
      <c r="I5" s="1"/>
      <c r="J5" s="1"/>
      <c r="K5" s="1"/>
      <c r="L5" s="1"/>
      <c r="M5" s="1" t="s">
        <v>135</v>
      </c>
      <c r="N5" s="1"/>
      <c r="O5" s="1"/>
      <c r="P5" s="1"/>
      <c r="Q5" s="1"/>
      <c r="R5" s="1"/>
      <c r="S5" s="1"/>
      <c r="T5" s="1"/>
      <c r="U5" s="1"/>
      <c r="V5" s="1"/>
      <c r="W5" s="1"/>
      <c r="X5" s="1" t="s">
        <v>136</v>
      </c>
      <c r="Y5" s="1" t="s">
        <v>137</v>
      </c>
      <c r="Z5" s="1" t="s">
        <v>137</v>
      </c>
      <c r="AA5" s="1" t="s">
        <v>138</v>
      </c>
      <c r="AB5" s="1" t="s">
        <v>137</v>
      </c>
      <c r="AC5" s="1" t="s">
        <v>139</v>
      </c>
      <c r="AD5" s="1" t="s">
        <v>137</v>
      </c>
      <c r="AE5" s="1" t="s">
        <v>140</v>
      </c>
      <c r="AF5" s="1" t="s">
        <v>141</v>
      </c>
      <c r="AG5" s="1" t="s">
        <v>142</v>
      </c>
      <c r="AH5" s="1" t="s">
        <v>143</v>
      </c>
      <c r="AI5" s="1" t="s">
        <v>144</v>
      </c>
      <c r="AJ5" s="1" t="s">
        <v>145</v>
      </c>
      <c r="AK5" s="1" t="s">
        <v>138</v>
      </c>
      <c r="AL5" s="1" t="s">
        <v>146</v>
      </c>
      <c r="AM5" s="1" t="s">
        <v>147</v>
      </c>
      <c r="AN5" s="1" t="s">
        <v>148</v>
      </c>
      <c r="AO5" s="1" t="s">
        <v>149</v>
      </c>
      <c r="AP5" s="1" t="s">
        <v>150</v>
      </c>
      <c r="AQ5" s="1" t="s">
        <v>146</v>
      </c>
      <c r="AR5" s="1" t="s">
        <v>151</v>
      </c>
      <c r="AS5" s="1" t="s">
        <v>152</v>
      </c>
      <c r="AT5" s="1" t="s">
        <v>138</v>
      </c>
      <c r="AU5" s="1" t="s">
        <v>153</v>
      </c>
      <c r="AV5" s="1" t="s">
        <v>146</v>
      </c>
      <c r="AW5" s="1" t="s">
        <v>146</v>
      </c>
      <c r="AX5" s="1" t="s">
        <v>154</v>
      </c>
      <c r="AY5" s="1" t="s">
        <v>155</v>
      </c>
      <c r="AZ5" s="1" t="s">
        <v>156</v>
      </c>
      <c r="BA5" s="1" t="s">
        <v>154</v>
      </c>
      <c r="BB5" s="1" t="s">
        <v>155</v>
      </c>
      <c r="BC5" s="1" t="s">
        <v>143</v>
      </c>
      <c r="BD5" s="1" t="s">
        <v>146</v>
      </c>
      <c r="BE5" s="1" t="s">
        <v>157</v>
      </c>
      <c r="BF5" s="1" t="s">
        <v>138</v>
      </c>
      <c r="BG5" s="1" t="s">
        <v>158</v>
      </c>
      <c r="BH5" s="1" t="s">
        <v>159</v>
      </c>
      <c r="BI5" s="1" t="s">
        <v>160</v>
      </c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 t="s">
        <v>161</v>
      </c>
    </row>
    <row r="6" spans="1:133" x14ac:dyDescent="0.2">
      <c r="A6" s="1" t="s">
        <v>167</v>
      </c>
      <c r="B6" s="1" t="s">
        <v>168</v>
      </c>
      <c r="C6" s="1"/>
      <c r="D6" s="1"/>
      <c r="E6" s="1"/>
      <c r="F6" s="1"/>
      <c r="G6" s="1"/>
      <c r="H6" s="1"/>
      <c r="I6" s="1"/>
      <c r="J6" s="1"/>
      <c r="K6" s="1"/>
      <c r="L6" s="1"/>
      <c r="M6" s="1" t="s">
        <v>164</v>
      </c>
      <c r="N6" s="1"/>
      <c r="O6" s="1"/>
      <c r="P6" s="1"/>
      <c r="Q6" s="1"/>
      <c r="R6" s="1"/>
      <c r="S6" s="1"/>
      <c r="T6" s="1"/>
      <c r="U6" s="1"/>
      <c r="V6" s="1"/>
      <c r="W6" s="1"/>
      <c r="X6" s="1" t="s">
        <v>136</v>
      </c>
      <c r="Y6" s="1" t="s">
        <v>137</v>
      </c>
      <c r="Z6" s="1" t="s">
        <v>137</v>
      </c>
      <c r="AA6" s="1" t="s">
        <v>138</v>
      </c>
      <c r="AB6" s="1" t="s">
        <v>137</v>
      </c>
      <c r="AC6" s="1" t="s">
        <v>139</v>
      </c>
      <c r="AD6" s="1" t="s">
        <v>137</v>
      </c>
      <c r="AE6" s="1" t="s">
        <v>140</v>
      </c>
      <c r="AF6" s="1" t="s">
        <v>141</v>
      </c>
      <c r="AG6" s="1" t="s">
        <v>142</v>
      </c>
      <c r="AH6" s="1" t="s">
        <v>143</v>
      </c>
      <c r="AI6" s="1" t="s">
        <v>144</v>
      </c>
      <c r="AJ6" s="1" t="s">
        <v>145</v>
      </c>
      <c r="AK6" s="1" t="s">
        <v>138</v>
      </c>
      <c r="AL6" s="1" t="s">
        <v>146</v>
      </c>
      <c r="AM6" s="1" t="s">
        <v>147</v>
      </c>
      <c r="AN6" s="1" t="s">
        <v>148</v>
      </c>
      <c r="AO6" s="1" t="s">
        <v>149</v>
      </c>
      <c r="AP6" s="1" t="s">
        <v>150</v>
      </c>
      <c r="AQ6" s="1" t="s">
        <v>146</v>
      </c>
      <c r="AR6" s="1" t="s">
        <v>151</v>
      </c>
      <c r="AS6" s="1" t="s">
        <v>152</v>
      </c>
      <c r="AT6" s="1" t="s">
        <v>138</v>
      </c>
      <c r="AU6" s="1" t="s">
        <v>153</v>
      </c>
      <c r="AV6" s="1" t="s">
        <v>146</v>
      </c>
      <c r="AW6" s="1" t="s">
        <v>146</v>
      </c>
      <c r="AX6" s="1" t="s">
        <v>154</v>
      </c>
      <c r="AY6" s="1" t="s">
        <v>155</v>
      </c>
      <c r="AZ6" s="1" t="s">
        <v>156</v>
      </c>
      <c r="BA6" s="1" t="s">
        <v>154</v>
      </c>
      <c r="BB6" s="1" t="s">
        <v>155</v>
      </c>
      <c r="BC6" s="1" t="s">
        <v>143</v>
      </c>
      <c r="BD6" s="1" t="s">
        <v>146</v>
      </c>
      <c r="BE6" s="1" t="s">
        <v>157</v>
      </c>
      <c r="BF6" s="1" t="s">
        <v>138</v>
      </c>
      <c r="BG6" s="1" t="s">
        <v>158</v>
      </c>
      <c r="BH6" s="1" t="s">
        <v>159</v>
      </c>
      <c r="BI6" s="1" t="s">
        <v>160</v>
      </c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 t="s">
        <v>161</v>
      </c>
    </row>
    <row r="7" spans="1:133" x14ac:dyDescent="0.2">
      <c r="A7" s="1" t="s">
        <v>169</v>
      </c>
      <c r="B7" s="1" t="s">
        <v>170</v>
      </c>
      <c r="C7" s="1"/>
      <c r="D7" s="1"/>
      <c r="E7" s="1"/>
      <c r="F7" s="1"/>
      <c r="G7" s="1"/>
      <c r="H7" s="1"/>
      <c r="I7" s="1"/>
      <c r="J7" s="1"/>
      <c r="K7" s="1"/>
      <c r="L7" s="1"/>
      <c r="M7" s="1" t="s">
        <v>164</v>
      </c>
      <c r="N7" s="1"/>
      <c r="O7" s="1"/>
      <c r="P7" s="1"/>
      <c r="Q7" s="1"/>
      <c r="R7" s="1"/>
      <c r="S7" s="1"/>
      <c r="T7" s="1"/>
      <c r="U7" s="1"/>
      <c r="V7" s="1"/>
      <c r="W7" s="1"/>
      <c r="X7" s="1" t="s">
        <v>136</v>
      </c>
      <c r="Y7" s="1" t="s">
        <v>137</v>
      </c>
      <c r="Z7" s="1" t="s">
        <v>137</v>
      </c>
      <c r="AA7" s="1" t="s">
        <v>138</v>
      </c>
      <c r="AB7" s="1" t="s">
        <v>137</v>
      </c>
      <c r="AC7" s="1" t="s">
        <v>139</v>
      </c>
      <c r="AD7" s="1" t="s">
        <v>137</v>
      </c>
      <c r="AE7" s="1" t="s">
        <v>140</v>
      </c>
      <c r="AF7" s="1" t="s">
        <v>141</v>
      </c>
      <c r="AG7" s="1" t="s">
        <v>142</v>
      </c>
      <c r="AH7" s="1" t="s">
        <v>143</v>
      </c>
      <c r="AI7" s="1" t="s">
        <v>144</v>
      </c>
      <c r="AJ7" s="1" t="s">
        <v>145</v>
      </c>
      <c r="AK7" s="1" t="s">
        <v>138</v>
      </c>
      <c r="AL7" s="1" t="s">
        <v>146</v>
      </c>
      <c r="AM7" s="1" t="s">
        <v>147</v>
      </c>
      <c r="AN7" s="1" t="s">
        <v>148</v>
      </c>
      <c r="AO7" s="1" t="s">
        <v>149</v>
      </c>
      <c r="AP7" s="1" t="s">
        <v>150</v>
      </c>
      <c r="AQ7" s="1" t="s">
        <v>146</v>
      </c>
      <c r="AR7" s="1" t="s">
        <v>151</v>
      </c>
      <c r="AS7" s="1" t="s">
        <v>152</v>
      </c>
      <c r="AT7" s="1" t="s">
        <v>138</v>
      </c>
      <c r="AU7" s="1" t="s">
        <v>153</v>
      </c>
      <c r="AV7" s="1" t="s">
        <v>146</v>
      </c>
      <c r="AW7" s="1" t="s">
        <v>146</v>
      </c>
      <c r="AX7" s="1" t="s">
        <v>154</v>
      </c>
      <c r="AY7" s="1" t="s">
        <v>155</v>
      </c>
      <c r="AZ7" s="1" t="s">
        <v>156</v>
      </c>
      <c r="BA7" s="1" t="s">
        <v>154</v>
      </c>
      <c r="BB7" s="1" t="s">
        <v>155</v>
      </c>
      <c r="BC7" s="1" t="s">
        <v>143</v>
      </c>
      <c r="BD7" s="1" t="s">
        <v>146</v>
      </c>
      <c r="BE7" s="1" t="s">
        <v>157</v>
      </c>
      <c r="BF7" s="1" t="s">
        <v>138</v>
      </c>
      <c r="BG7" s="1" t="s">
        <v>158</v>
      </c>
      <c r="BH7" s="1" t="s">
        <v>159</v>
      </c>
      <c r="BI7" s="1" t="s">
        <v>160</v>
      </c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 t="s">
        <v>161</v>
      </c>
    </row>
    <row r="8" spans="1:133" x14ac:dyDescent="0.2">
      <c r="A8" s="1" t="s">
        <v>151</v>
      </c>
      <c r="B8" s="1" t="s">
        <v>171</v>
      </c>
      <c r="C8" s="1"/>
      <c r="D8" s="1"/>
      <c r="E8" s="1"/>
      <c r="F8" s="1"/>
      <c r="G8" s="1"/>
      <c r="H8" s="1"/>
      <c r="I8" s="1"/>
      <c r="J8" s="1"/>
      <c r="K8" s="1"/>
      <c r="L8" s="1"/>
      <c r="M8" s="1" t="s">
        <v>135</v>
      </c>
      <c r="N8" s="1"/>
      <c r="O8" s="1"/>
      <c r="P8" s="1"/>
      <c r="Q8" s="1"/>
      <c r="R8" s="1"/>
      <c r="S8" s="1"/>
      <c r="T8" s="1"/>
      <c r="U8" s="1"/>
      <c r="V8" s="1"/>
      <c r="W8" s="1"/>
      <c r="X8" s="1" t="s">
        <v>136</v>
      </c>
      <c r="Y8" s="1" t="s">
        <v>137</v>
      </c>
      <c r="Z8" s="1" t="s">
        <v>137</v>
      </c>
      <c r="AA8" s="1" t="s">
        <v>138</v>
      </c>
      <c r="AB8" s="1" t="s">
        <v>137</v>
      </c>
      <c r="AC8" s="1" t="s">
        <v>139</v>
      </c>
      <c r="AD8" s="1" t="s">
        <v>137</v>
      </c>
      <c r="AE8" s="1" t="s">
        <v>140</v>
      </c>
      <c r="AF8" s="1" t="s">
        <v>141</v>
      </c>
      <c r="AG8" s="1" t="s">
        <v>142</v>
      </c>
      <c r="AH8" s="1" t="s">
        <v>143</v>
      </c>
      <c r="AI8" s="1" t="s">
        <v>144</v>
      </c>
      <c r="AJ8" s="1" t="s">
        <v>145</v>
      </c>
      <c r="AK8" s="1" t="s">
        <v>138</v>
      </c>
      <c r="AL8" s="1" t="s">
        <v>146</v>
      </c>
      <c r="AM8" s="1" t="s">
        <v>147</v>
      </c>
      <c r="AN8" s="1" t="s">
        <v>148</v>
      </c>
      <c r="AO8" s="1" t="s">
        <v>149</v>
      </c>
      <c r="AP8" s="1" t="s">
        <v>150</v>
      </c>
      <c r="AQ8" s="1" t="s">
        <v>146</v>
      </c>
      <c r="AR8" s="1" t="s">
        <v>151</v>
      </c>
      <c r="AS8" s="1" t="s">
        <v>152</v>
      </c>
      <c r="AT8" s="1" t="s">
        <v>138</v>
      </c>
      <c r="AU8" s="1" t="s">
        <v>153</v>
      </c>
      <c r="AV8" s="1" t="s">
        <v>146</v>
      </c>
      <c r="AW8" s="1" t="s">
        <v>146</v>
      </c>
      <c r="AX8" s="1" t="s">
        <v>154</v>
      </c>
      <c r="AY8" s="1" t="s">
        <v>155</v>
      </c>
      <c r="AZ8" s="1" t="s">
        <v>156</v>
      </c>
      <c r="BA8" s="1" t="s">
        <v>154</v>
      </c>
      <c r="BB8" s="1" t="s">
        <v>155</v>
      </c>
      <c r="BC8" s="1" t="s">
        <v>143</v>
      </c>
      <c r="BD8" s="1" t="s">
        <v>146</v>
      </c>
      <c r="BE8" s="1" t="s">
        <v>157</v>
      </c>
      <c r="BF8" s="1" t="s">
        <v>138</v>
      </c>
      <c r="BG8" s="1" t="s">
        <v>158</v>
      </c>
      <c r="BH8" s="1" t="s">
        <v>159</v>
      </c>
      <c r="BI8" s="1" t="s">
        <v>160</v>
      </c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 t="s">
        <v>161</v>
      </c>
    </row>
    <row r="9" spans="1:133" x14ac:dyDescent="0.2">
      <c r="A9" s="1" t="s">
        <v>172</v>
      </c>
      <c r="B9" s="1" t="s">
        <v>173</v>
      </c>
      <c r="C9" s="1"/>
      <c r="D9" s="1"/>
      <c r="E9" s="1"/>
      <c r="F9" s="1"/>
      <c r="G9" s="1"/>
      <c r="H9" s="1"/>
      <c r="I9" s="1"/>
      <c r="J9" s="1"/>
      <c r="K9" s="1"/>
      <c r="L9" s="1"/>
      <c r="M9" s="1" t="s">
        <v>135</v>
      </c>
      <c r="N9" s="1"/>
      <c r="O9" s="1"/>
      <c r="P9" s="1"/>
      <c r="Q9" s="1"/>
      <c r="R9" s="1"/>
      <c r="S9" s="1"/>
      <c r="T9" s="1"/>
      <c r="U9" s="1"/>
      <c r="V9" s="1"/>
      <c r="W9" s="1"/>
      <c r="X9" s="1" t="s">
        <v>136</v>
      </c>
      <c r="Y9" s="1" t="s">
        <v>137</v>
      </c>
      <c r="Z9" s="1" t="s">
        <v>137</v>
      </c>
      <c r="AA9" s="1" t="s">
        <v>138</v>
      </c>
      <c r="AB9" s="1" t="s">
        <v>137</v>
      </c>
      <c r="AC9" s="1" t="s">
        <v>139</v>
      </c>
      <c r="AD9" s="1" t="s">
        <v>137</v>
      </c>
      <c r="AE9" s="1" t="s">
        <v>140</v>
      </c>
      <c r="AF9" s="1" t="s">
        <v>141</v>
      </c>
      <c r="AG9" s="1" t="s">
        <v>142</v>
      </c>
      <c r="AH9" s="1" t="s">
        <v>143</v>
      </c>
      <c r="AI9" s="1" t="s">
        <v>144</v>
      </c>
      <c r="AJ9" s="1" t="s">
        <v>145</v>
      </c>
      <c r="AK9" s="1" t="s">
        <v>138</v>
      </c>
      <c r="AL9" s="1" t="s">
        <v>146</v>
      </c>
      <c r="AM9" s="1" t="s">
        <v>147</v>
      </c>
      <c r="AN9" s="1" t="s">
        <v>148</v>
      </c>
      <c r="AO9" s="1" t="s">
        <v>149</v>
      </c>
      <c r="AP9" s="1" t="s">
        <v>150</v>
      </c>
      <c r="AQ9" s="1" t="s">
        <v>146</v>
      </c>
      <c r="AR9" s="1" t="s">
        <v>151</v>
      </c>
      <c r="AS9" s="1" t="s">
        <v>152</v>
      </c>
      <c r="AT9" s="1" t="s">
        <v>138</v>
      </c>
      <c r="AU9" s="1" t="s">
        <v>153</v>
      </c>
      <c r="AV9" s="1" t="s">
        <v>146</v>
      </c>
      <c r="AW9" s="1" t="s">
        <v>146</v>
      </c>
      <c r="AX9" s="1" t="s">
        <v>154</v>
      </c>
      <c r="AY9" s="1" t="s">
        <v>155</v>
      </c>
      <c r="AZ9" s="1" t="s">
        <v>156</v>
      </c>
      <c r="BA9" s="1" t="s">
        <v>154</v>
      </c>
      <c r="BB9" s="1" t="s">
        <v>155</v>
      </c>
      <c r="BC9" s="1" t="s">
        <v>143</v>
      </c>
      <c r="BD9" s="1" t="s">
        <v>146</v>
      </c>
      <c r="BE9" s="1" t="s">
        <v>157</v>
      </c>
      <c r="BF9" s="1" t="s">
        <v>138</v>
      </c>
      <c r="BG9" s="1" t="s">
        <v>158</v>
      </c>
      <c r="BH9" s="1" t="s">
        <v>159</v>
      </c>
      <c r="BI9" s="1" t="s">
        <v>160</v>
      </c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 t="s">
        <v>161</v>
      </c>
    </row>
    <row r="10" spans="1:133" x14ac:dyDescent="0.2">
      <c r="A10" s="1" t="s">
        <v>174</v>
      </c>
      <c r="B10" s="1" t="s">
        <v>175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 t="s">
        <v>135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136</v>
      </c>
      <c r="Y10" s="1" t="s">
        <v>137</v>
      </c>
      <c r="Z10" s="1" t="s">
        <v>137</v>
      </c>
      <c r="AA10" s="1" t="s">
        <v>138</v>
      </c>
      <c r="AB10" s="1" t="s">
        <v>137</v>
      </c>
      <c r="AC10" s="1" t="s">
        <v>139</v>
      </c>
      <c r="AD10" s="1" t="s">
        <v>137</v>
      </c>
      <c r="AE10" s="1" t="s">
        <v>140</v>
      </c>
      <c r="AF10" s="1" t="s">
        <v>141</v>
      </c>
      <c r="AG10" s="1" t="s">
        <v>142</v>
      </c>
      <c r="AH10" s="1" t="s">
        <v>143</v>
      </c>
      <c r="AI10" s="1" t="s">
        <v>144</v>
      </c>
      <c r="AJ10" s="1" t="s">
        <v>145</v>
      </c>
      <c r="AK10" s="1" t="s">
        <v>138</v>
      </c>
      <c r="AL10" s="1" t="s">
        <v>146</v>
      </c>
      <c r="AM10" s="1" t="s">
        <v>147</v>
      </c>
      <c r="AN10" s="1" t="s">
        <v>148</v>
      </c>
      <c r="AO10" s="1" t="s">
        <v>149</v>
      </c>
      <c r="AP10" s="1" t="s">
        <v>150</v>
      </c>
      <c r="AQ10" s="1" t="s">
        <v>146</v>
      </c>
      <c r="AR10" s="1" t="s">
        <v>151</v>
      </c>
      <c r="AS10" s="1" t="s">
        <v>152</v>
      </c>
      <c r="AT10" s="1" t="s">
        <v>138</v>
      </c>
      <c r="AU10" s="1" t="s">
        <v>153</v>
      </c>
      <c r="AV10" s="1" t="s">
        <v>146</v>
      </c>
      <c r="AW10" s="1" t="s">
        <v>146</v>
      </c>
      <c r="AX10" s="1" t="s">
        <v>154</v>
      </c>
      <c r="AY10" s="1" t="s">
        <v>155</v>
      </c>
      <c r="AZ10" s="1" t="s">
        <v>156</v>
      </c>
      <c r="BA10" s="1" t="s">
        <v>154</v>
      </c>
      <c r="BB10" s="1" t="s">
        <v>155</v>
      </c>
      <c r="BC10" s="1" t="s">
        <v>143</v>
      </c>
      <c r="BD10" s="1" t="s">
        <v>146</v>
      </c>
      <c r="BE10" s="1" t="s">
        <v>157</v>
      </c>
      <c r="BF10" s="1" t="s">
        <v>138</v>
      </c>
      <c r="BG10" s="1" t="s">
        <v>158</v>
      </c>
      <c r="BH10" s="1" t="s">
        <v>159</v>
      </c>
      <c r="BI10" s="1" t="s">
        <v>160</v>
      </c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 t="s">
        <v>161</v>
      </c>
    </row>
    <row r="11" spans="1:133" x14ac:dyDescent="0.2">
      <c r="A11" s="1" t="s">
        <v>176</v>
      </c>
      <c r="B11" s="1" t="s">
        <v>177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 t="s">
        <v>135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 t="s">
        <v>136</v>
      </c>
      <c r="Y11" s="1" t="s">
        <v>137</v>
      </c>
      <c r="Z11" s="1" t="s">
        <v>137</v>
      </c>
      <c r="AA11" s="1" t="s">
        <v>138</v>
      </c>
      <c r="AB11" s="1" t="s">
        <v>137</v>
      </c>
      <c r="AC11" s="1" t="s">
        <v>139</v>
      </c>
      <c r="AD11" s="1" t="s">
        <v>137</v>
      </c>
      <c r="AE11" s="1" t="s">
        <v>140</v>
      </c>
      <c r="AF11" s="1" t="s">
        <v>141</v>
      </c>
      <c r="AG11" s="1" t="s">
        <v>142</v>
      </c>
      <c r="AH11" s="1" t="s">
        <v>143</v>
      </c>
      <c r="AI11" s="1" t="s">
        <v>144</v>
      </c>
      <c r="AJ11" s="1" t="s">
        <v>145</v>
      </c>
      <c r="AK11" s="1" t="s">
        <v>138</v>
      </c>
      <c r="AL11" s="1" t="s">
        <v>146</v>
      </c>
      <c r="AM11" s="1" t="s">
        <v>147</v>
      </c>
      <c r="AN11" s="1" t="s">
        <v>148</v>
      </c>
      <c r="AO11" s="1" t="s">
        <v>149</v>
      </c>
      <c r="AP11" s="1" t="s">
        <v>150</v>
      </c>
      <c r="AQ11" s="1" t="s">
        <v>146</v>
      </c>
      <c r="AR11" s="1" t="s">
        <v>151</v>
      </c>
      <c r="AS11" s="1" t="s">
        <v>152</v>
      </c>
      <c r="AT11" s="1" t="s">
        <v>138</v>
      </c>
      <c r="AU11" s="1" t="s">
        <v>153</v>
      </c>
      <c r="AV11" s="1" t="s">
        <v>146</v>
      </c>
      <c r="AW11" s="1" t="s">
        <v>146</v>
      </c>
      <c r="AX11" s="1" t="s">
        <v>154</v>
      </c>
      <c r="AY11" s="1" t="s">
        <v>155</v>
      </c>
      <c r="AZ11" s="1" t="s">
        <v>156</v>
      </c>
      <c r="BA11" s="1" t="s">
        <v>154</v>
      </c>
      <c r="BB11" s="1" t="s">
        <v>155</v>
      </c>
      <c r="BC11" s="1" t="s">
        <v>143</v>
      </c>
      <c r="BD11" s="1" t="s">
        <v>146</v>
      </c>
      <c r="BE11" s="1" t="s">
        <v>157</v>
      </c>
      <c r="BF11" s="1" t="s">
        <v>138</v>
      </c>
      <c r="BG11" s="1" t="s">
        <v>158</v>
      </c>
      <c r="BH11" s="1" t="s">
        <v>159</v>
      </c>
      <c r="BI11" s="1" t="s">
        <v>160</v>
      </c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 t="s">
        <v>161</v>
      </c>
    </row>
    <row r="12" spans="1:133" x14ac:dyDescent="0.2">
      <c r="A12" s="1" t="s">
        <v>178</v>
      </c>
      <c r="B12" s="1" t="s">
        <v>179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 t="s">
        <v>135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 t="s">
        <v>136</v>
      </c>
      <c r="Y12" s="1" t="s">
        <v>137</v>
      </c>
      <c r="Z12" s="1" t="s">
        <v>137</v>
      </c>
      <c r="AA12" s="1" t="s">
        <v>138</v>
      </c>
      <c r="AB12" s="1" t="s">
        <v>137</v>
      </c>
      <c r="AC12" s="1" t="s">
        <v>139</v>
      </c>
      <c r="AD12" s="1" t="s">
        <v>137</v>
      </c>
      <c r="AE12" s="1" t="s">
        <v>140</v>
      </c>
      <c r="AF12" s="1" t="s">
        <v>141</v>
      </c>
      <c r="AG12" s="1" t="s">
        <v>142</v>
      </c>
      <c r="AH12" s="1" t="s">
        <v>143</v>
      </c>
      <c r="AI12" s="1" t="s">
        <v>144</v>
      </c>
      <c r="AJ12" s="1" t="s">
        <v>145</v>
      </c>
      <c r="AK12" s="1" t="s">
        <v>138</v>
      </c>
      <c r="AL12" s="1" t="s">
        <v>146</v>
      </c>
      <c r="AM12" s="1" t="s">
        <v>147</v>
      </c>
      <c r="AN12" s="1" t="s">
        <v>148</v>
      </c>
      <c r="AO12" s="1" t="s">
        <v>149</v>
      </c>
      <c r="AP12" s="1" t="s">
        <v>150</v>
      </c>
      <c r="AQ12" s="1" t="s">
        <v>146</v>
      </c>
      <c r="AR12" s="1" t="s">
        <v>151</v>
      </c>
      <c r="AS12" s="1" t="s">
        <v>152</v>
      </c>
      <c r="AT12" s="1" t="s">
        <v>138</v>
      </c>
      <c r="AU12" s="1" t="s">
        <v>153</v>
      </c>
      <c r="AV12" s="1" t="s">
        <v>146</v>
      </c>
      <c r="AW12" s="1" t="s">
        <v>146</v>
      </c>
      <c r="AX12" s="1" t="s">
        <v>154</v>
      </c>
      <c r="AY12" s="1" t="s">
        <v>155</v>
      </c>
      <c r="AZ12" s="1" t="s">
        <v>156</v>
      </c>
      <c r="BA12" s="1" t="s">
        <v>154</v>
      </c>
      <c r="BB12" s="1" t="s">
        <v>155</v>
      </c>
      <c r="BC12" s="1" t="s">
        <v>143</v>
      </c>
      <c r="BD12" s="1" t="s">
        <v>146</v>
      </c>
      <c r="BE12" s="1" t="s">
        <v>157</v>
      </c>
      <c r="BF12" s="1" t="s">
        <v>138</v>
      </c>
      <c r="BG12" s="1" t="s">
        <v>158</v>
      </c>
      <c r="BH12" s="1" t="s">
        <v>159</v>
      </c>
      <c r="BI12" s="1" t="s">
        <v>160</v>
      </c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 t="s">
        <v>161</v>
      </c>
    </row>
    <row r="13" spans="1:133" x14ac:dyDescent="0.2">
      <c r="A13" s="1" t="s">
        <v>180</v>
      </c>
      <c r="B13" s="1" t="s">
        <v>181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 t="s">
        <v>135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 t="s">
        <v>136</v>
      </c>
      <c r="Y13" s="1" t="s">
        <v>137</v>
      </c>
      <c r="Z13" s="1" t="s">
        <v>137</v>
      </c>
      <c r="AA13" s="1" t="s">
        <v>138</v>
      </c>
      <c r="AB13" s="1" t="s">
        <v>137</v>
      </c>
      <c r="AC13" s="1" t="s">
        <v>139</v>
      </c>
      <c r="AD13" s="1" t="s">
        <v>137</v>
      </c>
      <c r="AE13" s="1" t="s">
        <v>140</v>
      </c>
      <c r="AF13" s="1" t="s">
        <v>141</v>
      </c>
      <c r="AG13" s="1" t="s">
        <v>142</v>
      </c>
      <c r="AH13" s="1" t="s">
        <v>143</v>
      </c>
      <c r="AI13" s="1" t="s">
        <v>144</v>
      </c>
      <c r="AJ13" s="1" t="s">
        <v>145</v>
      </c>
      <c r="AK13" s="1" t="s">
        <v>138</v>
      </c>
      <c r="AL13" s="1" t="s">
        <v>146</v>
      </c>
      <c r="AM13" s="1" t="s">
        <v>147</v>
      </c>
      <c r="AN13" s="1" t="s">
        <v>148</v>
      </c>
      <c r="AO13" s="1" t="s">
        <v>149</v>
      </c>
      <c r="AP13" s="1" t="s">
        <v>150</v>
      </c>
      <c r="AQ13" s="1" t="s">
        <v>146</v>
      </c>
      <c r="AR13" s="1" t="s">
        <v>151</v>
      </c>
      <c r="AS13" s="1" t="s">
        <v>152</v>
      </c>
      <c r="AT13" s="1" t="s">
        <v>138</v>
      </c>
      <c r="AU13" s="1" t="s">
        <v>153</v>
      </c>
      <c r="AV13" s="1" t="s">
        <v>146</v>
      </c>
      <c r="AW13" s="1" t="s">
        <v>146</v>
      </c>
      <c r="AX13" s="1" t="s">
        <v>154</v>
      </c>
      <c r="AY13" s="1" t="s">
        <v>155</v>
      </c>
      <c r="AZ13" s="1" t="s">
        <v>156</v>
      </c>
      <c r="BA13" s="1" t="s">
        <v>154</v>
      </c>
      <c r="BB13" s="1" t="s">
        <v>155</v>
      </c>
      <c r="BC13" s="1" t="s">
        <v>143</v>
      </c>
      <c r="BD13" s="1" t="s">
        <v>146</v>
      </c>
      <c r="BE13" s="1" t="s">
        <v>157</v>
      </c>
      <c r="BF13" s="1" t="s">
        <v>138</v>
      </c>
      <c r="BG13" s="1" t="s">
        <v>158</v>
      </c>
      <c r="BH13" s="1" t="s">
        <v>159</v>
      </c>
      <c r="BI13" s="1" t="s">
        <v>160</v>
      </c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 t="s">
        <v>161</v>
      </c>
    </row>
    <row r="14" spans="1:133" x14ac:dyDescent="0.2">
      <c r="A14" s="1" t="s">
        <v>182</v>
      </c>
      <c r="B14" s="1" t="s">
        <v>183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 t="s">
        <v>135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 t="s">
        <v>136</v>
      </c>
      <c r="Y14" s="1" t="s">
        <v>137</v>
      </c>
      <c r="Z14" s="1" t="s">
        <v>137</v>
      </c>
      <c r="AA14" s="1" t="s">
        <v>138</v>
      </c>
      <c r="AB14" s="1" t="s">
        <v>137</v>
      </c>
      <c r="AC14" s="1" t="s">
        <v>139</v>
      </c>
      <c r="AD14" s="1" t="s">
        <v>137</v>
      </c>
      <c r="AE14" s="1" t="s">
        <v>140</v>
      </c>
      <c r="AF14" s="1" t="s">
        <v>141</v>
      </c>
      <c r="AG14" s="1" t="s">
        <v>142</v>
      </c>
      <c r="AH14" s="1" t="s">
        <v>143</v>
      </c>
      <c r="AI14" s="1" t="s">
        <v>144</v>
      </c>
      <c r="AJ14" s="1" t="s">
        <v>145</v>
      </c>
      <c r="AK14" s="1" t="s">
        <v>138</v>
      </c>
      <c r="AL14" s="1" t="s">
        <v>146</v>
      </c>
      <c r="AM14" s="1" t="s">
        <v>147</v>
      </c>
      <c r="AN14" s="1" t="s">
        <v>148</v>
      </c>
      <c r="AO14" s="1" t="s">
        <v>149</v>
      </c>
      <c r="AP14" s="1" t="s">
        <v>150</v>
      </c>
      <c r="AQ14" s="1" t="s">
        <v>146</v>
      </c>
      <c r="AR14" s="1" t="s">
        <v>151</v>
      </c>
      <c r="AS14" s="1" t="s">
        <v>152</v>
      </c>
      <c r="AT14" s="1" t="s">
        <v>138</v>
      </c>
      <c r="AU14" s="1" t="s">
        <v>153</v>
      </c>
      <c r="AV14" s="1" t="s">
        <v>146</v>
      </c>
      <c r="AW14" s="1" t="s">
        <v>146</v>
      </c>
      <c r="AX14" s="1" t="s">
        <v>154</v>
      </c>
      <c r="AY14" s="1" t="s">
        <v>155</v>
      </c>
      <c r="AZ14" s="1" t="s">
        <v>156</v>
      </c>
      <c r="BA14" s="1" t="s">
        <v>154</v>
      </c>
      <c r="BB14" s="1" t="s">
        <v>155</v>
      </c>
      <c r="BC14" s="1" t="s">
        <v>143</v>
      </c>
      <c r="BD14" s="1" t="s">
        <v>146</v>
      </c>
      <c r="BE14" s="1" t="s">
        <v>157</v>
      </c>
      <c r="BF14" s="1" t="s">
        <v>138</v>
      </c>
      <c r="BG14" s="1" t="s">
        <v>158</v>
      </c>
      <c r="BH14" s="1" t="s">
        <v>159</v>
      </c>
      <c r="BI14" s="1" t="s">
        <v>160</v>
      </c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 t="s">
        <v>323</v>
      </c>
    </row>
    <row r="15" spans="1:133" x14ac:dyDescent="0.2">
      <c r="A15" s="1" t="s">
        <v>184</v>
      </c>
      <c r="B15" s="1" t="s">
        <v>185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 t="s">
        <v>135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 t="s">
        <v>136</v>
      </c>
      <c r="Y15" s="1" t="s">
        <v>137</v>
      </c>
      <c r="Z15" s="1" t="s">
        <v>137</v>
      </c>
      <c r="AA15" s="1" t="s">
        <v>138</v>
      </c>
      <c r="AB15" s="1" t="s">
        <v>137</v>
      </c>
      <c r="AC15" s="1" t="s">
        <v>139</v>
      </c>
      <c r="AD15" s="1" t="s">
        <v>137</v>
      </c>
      <c r="AE15" s="1" t="s">
        <v>140</v>
      </c>
      <c r="AF15" s="1" t="s">
        <v>141</v>
      </c>
      <c r="AG15" s="1" t="s">
        <v>142</v>
      </c>
      <c r="AH15" s="1" t="s">
        <v>143</v>
      </c>
      <c r="AI15" s="1" t="s">
        <v>144</v>
      </c>
      <c r="AJ15" s="1" t="s">
        <v>145</v>
      </c>
      <c r="AK15" s="1" t="s">
        <v>138</v>
      </c>
      <c r="AL15" s="1" t="s">
        <v>146</v>
      </c>
      <c r="AM15" s="1" t="s">
        <v>147</v>
      </c>
      <c r="AN15" s="1" t="s">
        <v>148</v>
      </c>
      <c r="AO15" s="1" t="s">
        <v>149</v>
      </c>
      <c r="AP15" s="1" t="s">
        <v>150</v>
      </c>
      <c r="AQ15" s="1" t="s">
        <v>146</v>
      </c>
      <c r="AR15" s="1" t="s">
        <v>151</v>
      </c>
      <c r="AS15" s="1" t="s">
        <v>152</v>
      </c>
      <c r="AT15" s="1" t="s">
        <v>138</v>
      </c>
      <c r="AU15" s="1" t="s">
        <v>153</v>
      </c>
      <c r="AV15" s="1" t="s">
        <v>146</v>
      </c>
      <c r="AW15" s="1" t="s">
        <v>146</v>
      </c>
      <c r="AX15" s="1" t="s">
        <v>154</v>
      </c>
      <c r="AY15" s="1" t="s">
        <v>155</v>
      </c>
      <c r="AZ15" s="1" t="s">
        <v>156</v>
      </c>
      <c r="BA15" s="1" t="s">
        <v>154</v>
      </c>
      <c r="BB15" s="1" t="s">
        <v>155</v>
      </c>
      <c r="BC15" s="1" t="s">
        <v>143</v>
      </c>
      <c r="BD15" s="1" t="s">
        <v>146</v>
      </c>
      <c r="BE15" s="1" t="s">
        <v>157</v>
      </c>
      <c r="BF15" s="1" t="s">
        <v>138</v>
      </c>
      <c r="BG15" s="1" t="s">
        <v>158</v>
      </c>
      <c r="BH15" s="1" t="s">
        <v>159</v>
      </c>
      <c r="BI15" s="1" t="s">
        <v>160</v>
      </c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 t="s">
        <v>161</v>
      </c>
    </row>
    <row r="16" spans="1:133" x14ac:dyDescent="0.2">
      <c r="A16" s="1" t="s">
        <v>186</v>
      </c>
      <c r="B16" s="1" t="s">
        <v>187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 t="s">
        <v>164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 t="s">
        <v>136</v>
      </c>
      <c r="Y16" s="1" t="s">
        <v>137</v>
      </c>
      <c r="Z16" s="1" t="s">
        <v>188</v>
      </c>
      <c r="AA16" s="1" t="s">
        <v>138</v>
      </c>
      <c r="AB16" s="1" t="s">
        <v>188</v>
      </c>
      <c r="AC16" s="1" t="s">
        <v>139</v>
      </c>
      <c r="AD16" s="1" t="s">
        <v>137</v>
      </c>
      <c r="AE16" s="1" t="s">
        <v>140</v>
      </c>
      <c r="AF16" s="1" t="s">
        <v>141</v>
      </c>
      <c r="AG16" s="1" t="s">
        <v>142</v>
      </c>
      <c r="AH16" s="1" t="s">
        <v>143</v>
      </c>
      <c r="AI16" s="1" t="s">
        <v>144</v>
      </c>
      <c r="AJ16" s="1" t="s">
        <v>145</v>
      </c>
      <c r="AK16" s="1" t="s">
        <v>138</v>
      </c>
      <c r="AL16" s="1" t="s">
        <v>146</v>
      </c>
      <c r="AM16" s="1" t="s">
        <v>147</v>
      </c>
      <c r="AN16" s="1" t="s">
        <v>148</v>
      </c>
      <c r="AO16" s="1" t="s">
        <v>149</v>
      </c>
      <c r="AP16" s="1" t="s">
        <v>150</v>
      </c>
      <c r="AQ16" s="1" t="s">
        <v>146</v>
      </c>
      <c r="AR16" s="1" t="s">
        <v>151</v>
      </c>
      <c r="AS16" s="1" t="s">
        <v>152</v>
      </c>
      <c r="AT16" s="1" t="s">
        <v>138</v>
      </c>
      <c r="AU16" s="1" t="s">
        <v>153</v>
      </c>
      <c r="AV16" s="1" t="s">
        <v>146</v>
      </c>
      <c r="AW16" s="1" t="s">
        <v>146</v>
      </c>
      <c r="AX16" s="1" t="s">
        <v>154</v>
      </c>
      <c r="AY16" s="1" t="s">
        <v>155</v>
      </c>
      <c r="AZ16" s="1" t="s">
        <v>156</v>
      </c>
      <c r="BA16" s="1" t="s">
        <v>154</v>
      </c>
      <c r="BB16" s="1" t="s">
        <v>155</v>
      </c>
      <c r="BC16" s="1" t="s">
        <v>143</v>
      </c>
      <c r="BD16" s="1" t="s">
        <v>146</v>
      </c>
      <c r="BE16" s="1" t="s">
        <v>157</v>
      </c>
      <c r="BF16" s="1" t="s">
        <v>138</v>
      </c>
      <c r="BG16" s="1" t="s">
        <v>158</v>
      </c>
      <c r="BH16" s="1" t="s">
        <v>159</v>
      </c>
      <c r="BI16" s="1" t="s">
        <v>160</v>
      </c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 t="s">
        <v>161</v>
      </c>
    </row>
    <row r="17" spans="1:129" x14ac:dyDescent="0.2">
      <c r="A17" s="1" t="s">
        <v>189</v>
      </c>
      <c r="B17" s="1" t="s">
        <v>190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 t="s">
        <v>191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 t="s">
        <v>192</v>
      </c>
      <c r="Y17" s="1" t="s">
        <v>139</v>
      </c>
      <c r="Z17" s="1" t="s">
        <v>139</v>
      </c>
      <c r="AA17" s="1" t="s">
        <v>138</v>
      </c>
      <c r="AB17" s="1" t="s">
        <v>139</v>
      </c>
      <c r="AC17" s="1" t="s">
        <v>139</v>
      </c>
      <c r="AD17" s="1" t="s">
        <v>137</v>
      </c>
      <c r="AE17" s="1" t="s">
        <v>140</v>
      </c>
      <c r="AF17" s="1" t="s">
        <v>193</v>
      </c>
      <c r="AG17" s="1" t="s">
        <v>142</v>
      </c>
      <c r="AH17" s="1" t="s">
        <v>143</v>
      </c>
      <c r="AI17" s="1" t="s">
        <v>144</v>
      </c>
      <c r="AJ17" s="1" t="s">
        <v>145</v>
      </c>
      <c r="AK17" s="1" t="s">
        <v>146</v>
      </c>
      <c r="AL17" s="1" t="s">
        <v>146</v>
      </c>
      <c r="AM17" s="1" t="s">
        <v>147</v>
      </c>
      <c r="AN17" s="1" t="s">
        <v>148</v>
      </c>
      <c r="AO17" s="1" t="s">
        <v>194</v>
      </c>
      <c r="AP17" s="1" t="s">
        <v>195</v>
      </c>
      <c r="AQ17" s="1" t="s">
        <v>146</v>
      </c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 t="s">
        <v>195</v>
      </c>
      <c r="BK17" s="1" t="s">
        <v>146</v>
      </c>
      <c r="BL17" s="1" t="s">
        <v>157</v>
      </c>
      <c r="BM17" s="1" t="s">
        <v>196</v>
      </c>
      <c r="BN17" s="1" t="s">
        <v>146</v>
      </c>
      <c r="BO17" s="1" t="s">
        <v>146</v>
      </c>
      <c r="BP17" s="1"/>
      <c r="BQ17" s="1"/>
      <c r="BR17" s="1"/>
      <c r="BS17" s="1"/>
      <c r="BT17" s="1" t="s">
        <v>195</v>
      </c>
      <c r="BU17" s="1" t="s">
        <v>141</v>
      </c>
      <c r="BV17" s="1" t="s">
        <v>197</v>
      </c>
      <c r="BW17" s="1" t="s">
        <v>198</v>
      </c>
      <c r="BX17" s="1" t="s">
        <v>146</v>
      </c>
      <c r="BY17" s="1" t="s">
        <v>146</v>
      </c>
      <c r="BZ17" s="1"/>
      <c r="CA17" s="1"/>
      <c r="CB17" s="1"/>
      <c r="CC17" s="1"/>
      <c r="CD17" s="1" t="s">
        <v>195</v>
      </c>
      <c r="CE17" s="1" t="s">
        <v>137</v>
      </c>
      <c r="CF17" s="1" t="s">
        <v>199</v>
      </c>
      <c r="CG17" s="1" t="s">
        <v>198</v>
      </c>
      <c r="CH17" s="1" t="s">
        <v>146</v>
      </c>
      <c r="CI17" s="1" t="s">
        <v>146</v>
      </c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 t="s">
        <v>161</v>
      </c>
    </row>
    <row r="18" spans="1:129" x14ac:dyDescent="0.2">
      <c r="A18" s="1" t="s">
        <v>200</v>
      </c>
      <c r="B18" s="1" t="s">
        <v>201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 t="s">
        <v>135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 t="s">
        <v>136</v>
      </c>
      <c r="Y18" s="1" t="s">
        <v>137</v>
      </c>
      <c r="Z18" s="1" t="s">
        <v>137</v>
      </c>
      <c r="AA18" s="1" t="s">
        <v>138</v>
      </c>
      <c r="AB18" s="1" t="s">
        <v>137</v>
      </c>
      <c r="AC18" s="1" t="s">
        <v>139</v>
      </c>
      <c r="AD18" s="1" t="s">
        <v>137</v>
      </c>
      <c r="AE18" s="1" t="s">
        <v>140</v>
      </c>
      <c r="AF18" s="1" t="s">
        <v>141</v>
      </c>
      <c r="AG18" s="1" t="s">
        <v>142</v>
      </c>
      <c r="AH18" s="1" t="s">
        <v>143</v>
      </c>
      <c r="AI18" s="1" t="s">
        <v>144</v>
      </c>
      <c r="AJ18" s="1" t="s">
        <v>145</v>
      </c>
      <c r="AK18" s="1" t="s">
        <v>138</v>
      </c>
      <c r="AL18" s="1" t="s">
        <v>146</v>
      </c>
      <c r="AM18" s="1" t="s">
        <v>147</v>
      </c>
      <c r="AN18" s="1" t="s">
        <v>148</v>
      </c>
      <c r="AO18" s="1" t="s">
        <v>149</v>
      </c>
      <c r="AP18" s="1" t="s">
        <v>150</v>
      </c>
      <c r="AQ18" s="1" t="s">
        <v>146</v>
      </c>
      <c r="AR18" s="1" t="s">
        <v>151</v>
      </c>
      <c r="AS18" s="1" t="s">
        <v>152</v>
      </c>
      <c r="AT18" s="1" t="s">
        <v>138</v>
      </c>
      <c r="AU18" s="1" t="s">
        <v>153</v>
      </c>
      <c r="AV18" s="1" t="s">
        <v>146</v>
      </c>
      <c r="AW18" s="1" t="s">
        <v>146</v>
      </c>
      <c r="AX18" s="1" t="s">
        <v>154</v>
      </c>
      <c r="AY18" s="1" t="s">
        <v>155</v>
      </c>
      <c r="AZ18" s="1" t="s">
        <v>156</v>
      </c>
      <c r="BA18" s="1" t="s">
        <v>154</v>
      </c>
      <c r="BB18" s="1" t="s">
        <v>155</v>
      </c>
      <c r="BC18" s="1" t="s">
        <v>143</v>
      </c>
      <c r="BD18" s="1" t="s">
        <v>146</v>
      </c>
      <c r="BE18" s="1" t="s">
        <v>157</v>
      </c>
      <c r="BF18" s="1" t="s">
        <v>138</v>
      </c>
      <c r="BG18" s="1" t="s">
        <v>158</v>
      </c>
      <c r="BH18" s="1" t="s">
        <v>159</v>
      </c>
      <c r="BI18" s="1" t="s">
        <v>160</v>
      </c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 t="s">
        <v>161</v>
      </c>
    </row>
    <row r="19" spans="1:129" x14ac:dyDescent="0.2">
      <c r="A19" s="1" t="s">
        <v>202</v>
      </c>
      <c r="B19" s="1" t="s">
        <v>203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 t="s">
        <v>135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 t="s">
        <v>136</v>
      </c>
      <c r="Y19" s="1" t="s">
        <v>137</v>
      </c>
      <c r="Z19" s="1" t="s">
        <v>137</v>
      </c>
      <c r="AA19" s="1" t="s">
        <v>138</v>
      </c>
      <c r="AB19" s="1" t="s">
        <v>137</v>
      </c>
      <c r="AC19" s="1" t="s">
        <v>139</v>
      </c>
      <c r="AD19" s="1" t="s">
        <v>137</v>
      </c>
      <c r="AE19" s="1" t="s">
        <v>140</v>
      </c>
      <c r="AF19" s="1" t="s">
        <v>141</v>
      </c>
      <c r="AG19" s="1" t="s">
        <v>142</v>
      </c>
      <c r="AH19" s="1" t="s">
        <v>143</v>
      </c>
      <c r="AI19" s="1" t="s">
        <v>144</v>
      </c>
      <c r="AJ19" s="1" t="s">
        <v>145</v>
      </c>
      <c r="AK19" s="1" t="s">
        <v>138</v>
      </c>
      <c r="AL19" s="1" t="s">
        <v>146</v>
      </c>
      <c r="AM19" s="1" t="s">
        <v>147</v>
      </c>
      <c r="AN19" s="1" t="s">
        <v>148</v>
      </c>
      <c r="AO19" s="1" t="s">
        <v>149</v>
      </c>
      <c r="AP19" s="1" t="s">
        <v>150</v>
      </c>
      <c r="AQ19" s="1" t="s">
        <v>146</v>
      </c>
      <c r="AR19" s="1" t="s">
        <v>151</v>
      </c>
      <c r="AS19" s="1" t="s">
        <v>152</v>
      </c>
      <c r="AT19" s="1" t="s">
        <v>138</v>
      </c>
      <c r="AU19" s="1" t="s">
        <v>153</v>
      </c>
      <c r="AV19" s="1" t="s">
        <v>146</v>
      </c>
      <c r="AW19" s="1" t="s">
        <v>146</v>
      </c>
      <c r="AX19" s="1" t="s">
        <v>154</v>
      </c>
      <c r="AY19" s="1" t="s">
        <v>155</v>
      </c>
      <c r="AZ19" s="1" t="s">
        <v>156</v>
      </c>
      <c r="BA19" s="1" t="s">
        <v>154</v>
      </c>
      <c r="BB19" s="1" t="s">
        <v>155</v>
      </c>
      <c r="BC19" s="1" t="s">
        <v>143</v>
      </c>
      <c r="BD19" s="1" t="s">
        <v>146</v>
      </c>
      <c r="BE19" s="1" t="s">
        <v>157</v>
      </c>
      <c r="BF19" s="1" t="s">
        <v>138</v>
      </c>
      <c r="BG19" s="1" t="s">
        <v>158</v>
      </c>
      <c r="BH19" s="1" t="s">
        <v>159</v>
      </c>
      <c r="BI19" s="1" t="s">
        <v>160</v>
      </c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 t="s">
        <v>161</v>
      </c>
    </row>
    <row r="20" spans="1:129" x14ac:dyDescent="0.2">
      <c r="A20" s="1" t="s">
        <v>159</v>
      </c>
      <c r="B20" s="1" t="s">
        <v>204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 t="s">
        <v>205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 t="s">
        <v>136</v>
      </c>
      <c r="Y20" s="1" t="s">
        <v>188</v>
      </c>
      <c r="Z20" s="1" t="s">
        <v>137</v>
      </c>
      <c r="AA20" s="1" t="s">
        <v>138</v>
      </c>
      <c r="AB20" s="1" t="s">
        <v>188</v>
      </c>
      <c r="AC20" s="1" t="s">
        <v>139</v>
      </c>
      <c r="AD20" s="1" t="s">
        <v>137</v>
      </c>
      <c r="AE20" s="1" t="s">
        <v>140</v>
      </c>
      <c r="AF20" s="1" t="s">
        <v>206</v>
      </c>
      <c r="AG20" s="1" t="s">
        <v>142</v>
      </c>
      <c r="AH20" s="1" t="s">
        <v>143</v>
      </c>
      <c r="AI20" s="1" t="s">
        <v>144</v>
      </c>
      <c r="AJ20" s="1" t="s">
        <v>145</v>
      </c>
      <c r="AK20" s="1" t="s">
        <v>138</v>
      </c>
      <c r="AL20" s="1" t="s">
        <v>158</v>
      </c>
      <c r="AM20" s="1" t="s">
        <v>147</v>
      </c>
      <c r="AN20" s="1" t="s">
        <v>148</v>
      </c>
      <c r="AO20" s="1" t="s">
        <v>149</v>
      </c>
      <c r="AP20" s="1" t="s">
        <v>150</v>
      </c>
      <c r="AQ20" s="1" t="s">
        <v>146</v>
      </c>
      <c r="AR20" s="1" t="s">
        <v>151</v>
      </c>
      <c r="AS20" s="1" t="s">
        <v>152</v>
      </c>
      <c r="AT20" s="1" t="s">
        <v>207</v>
      </c>
      <c r="AU20" s="1" t="s">
        <v>153</v>
      </c>
      <c r="AV20" s="1" t="s">
        <v>146</v>
      </c>
      <c r="AW20" s="1" t="s">
        <v>146</v>
      </c>
      <c r="AX20" s="1" t="s">
        <v>154</v>
      </c>
      <c r="AY20" s="1" t="s">
        <v>155</v>
      </c>
      <c r="AZ20" s="1" t="s">
        <v>156</v>
      </c>
      <c r="BA20" s="1" t="s">
        <v>154</v>
      </c>
      <c r="BB20" s="1" t="s">
        <v>155</v>
      </c>
      <c r="BC20" s="1" t="s">
        <v>143</v>
      </c>
      <c r="BD20" s="1" t="s">
        <v>146</v>
      </c>
      <c r="BE20" s="1" t="s">
        <v>157</v>
      </c>
      <c r="BF20" s="1" t="s">
        <v>207</v>
      </c>
      <c r="BG20" s="1" t="s">
        <v>158</v>
      </c>
      <c r="BH20" s="1" t="s">
        <v>159</v>
      </c>
      <c r="BI20" s="1" t="s">
        <v>160</v>
      </c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 t="s">
        <v>161</v>
      </c>
    </row>
    <row r="21" spans="1:129" x14ac:dyDescent="0.2">
      <c r="A21" s="1" t="s">
        <v>157</v>
      </c>
      <c r="B21" s="1" t="s">
        <v>208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 t="s">
        <v>191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 t="s">
        <v>192</v>
      </c>
      <c r="Y21" s="1" t="s">
        <v>139</v>
      </c>
      <c r="Z21" s="1" t="s">
        <v>139</v>
      </c>
      <c r="AA21" s="1" t="s">
        <v>138</v>
      </c>
      <c r="AB21" s="1" t="s">
        <v>139</v>
      </c>
      <c r="AC21" s="1" t="s">
        <v>139</v>
      </c>
      <c r="AD21" s="1" t="s">
        <v>137</v>
      </c>
      <c r="AE21" s="1" t="s">
        <v>140</v>
      </c>
      <c r="AF21" s="1" t="s">
        <v>193</v>
      </c>
      <c r="AG21" s="1" t="s">
        <v>142</v>
      </c>
      <c r="AH21" s="1" t="s">
        <v>143</v>
      </c>
      <c r="AI21" s="1" t="s">
        <v>144</v>
      </c>
      <c r="AJ21" s="1" t="s">
        <v>145</v>
      </c>
      <c r="AK21" s="1" t="s">
        <v>146</v>
      </c>
      <c r="AL21" s="1" t="s">
        <v>146</v>
      </c>
      <c r="AM21" s="1" t="s">
        <v>147</v>
      </c>
      <c r="AN21" s="1" t="s">
        <v>148</v>
      </c>
      <c r="AO21" s="1" t="s">
        <v>194</v>
      </c>
      <c r="AP21" s="1" t="s">
        <v>195</v>
      </c>
      <c r="AQ21" s="1" t="s">
        <v>146</v>
      </c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 t="s">
        <v>195</v>
      </c>
      <c r="BK21" s="1" t="s">
        <v>146</v>
      </c>
      <c r="BL21" s="1" t="s">
        <v>157</v>
      </c>
      <c r="BM21" s="1" t="s">
        <v>196</v>
      </c>
      <c r="BN21" s="1" t="s">
        <v>146</v>
      </c>
      <c r="BO21" s="1" t="s">
        <v>146</v>
      </c>
      <c r="BP21" s="1"/>
      <c r="BQ21" s="1"/>
      <c r="BR21" s="1"/>
      <c r="BS21" s="1"/>
      <c r="BT21" s="1" t="s">
        <v>195</v>
      </c>
      <c r="BU21" s="1" t="s">
        <v>141</v>
      </c>
      <c r="BV21" s="1" t="s">
        <v>197</v>
      </c>
      <c r="BW21" s="1" t="s">
        <v>198</v>
      </c>
      <c r="BX21" s="1" t="s">
        <v>146</v>
      </c>
      <c r="BY21" s="1" t="s">
        <v>146</v>
      </c>
      <c r="BZ21" s="1"/>
      <c r="CA21" s="1"/>
      <c r="CB21" s="1"/>
      <c r="CC21" s="1"/>
      <c r="CD21" s="1" t="s">
        <v>195</v>
      </c>
      <c r="CE21" s="1" t="s">
        <v>137</v>
      </c>
      <c r="CF21" s="1" t="s">
        <v>199</v>
      </c>
      <c r="CG21" s="1" t="s">
        <v>198</v>
      </c>
      <c r="CH21" s="1" t="s">
        <v>146</v>
      </c>
      <c r="CI21" s="1" t="s">
        <v>146</v>
      </c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 t="s">
        <v>161</v>
      </c>
    </row>
    <row r="22" spans="1:129" s="14" customFormat="1" x14ac:dyDescent="0.2">
      <c r="A22" s="13" t="s">
        <v>209</v>
      </c>
      <c r="B22" s="13" t="s">
        <v>210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 t="s">
        <v>164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 t="s">
        <v>136</v>
      </c>
      <c r="Y22" s="13" t="s">
        <v>137</v>
      </c>
      <c r="Z22" s="13" t="s">
        <v>137</v>
      </c>
      <c r="AA22" s="13" t="s">
        <v>138</v>
      </c>
      <c r="AB22" s="13" t="s">
        <v>137</v>
      </c>
      <c r="AC22" s="13" t="s">
        <v>139</v>
      </c>
      <c r="AD22" s="13" t="s">
        <v>137</v>
      </c>
      <c r="AE22" s="13" t="s">
        <v>140</v>
      </c>
      <c r="AF22" s="13" t="s">
        <v>141</v>
      </c>
      <c r="AG22" s="13" t="s">
        <v>142</v>
      </c>
      <c r="AH22" s="13" t="s">
        <v>143</v>
      </c>
      <c r="AI22" s="13" t="s">
        <v>144</v>
      </c>
      <c r="AJ22" s="13" t="s">
        <v>145</v>
      </c>
      <c r="AK22" s="13" t="s">
        <v>138</v>
      </c>
      <c r="AL22" s="13" t="s">
        <v>146</v>
      </c>
      <c r="AM22" s="13" t="s">
        <v>147</v>
      </c>
      <c r="AN22" s="13" t="s">
        <v>148</v>
      </c>
      <c r="AO22" s="13" t="s">
        <v>149</v>
      </c>
      <c r="AP22" s="13" t="s">
        <v>150</v>
      </c>
      <c r="AQ22" s="13" t="s">
        <v>146</v>
      </c>
      <c r="AR22" s="13" t="s">
        <v>151</v>
      </c>
      <c r="AS22" s="13" t="s">
        <v>152</v>
      </c>
      <c r="AT22" s="13" t="s">
        <v>138</v>
      </c>
      <c r="AU22" s="13" t="s">
        <v>153</v>
      </c>
      <c r="AV22" s="13" t="s">
        <v>146</v>
      </c>
      <c r="AW22" s="13" t="s">
        <v>146</v>
      </c>
      <c r="AX22" s="13" t="s">
        <v>154</v>
      </c>
      <c r="AY22" s="13" t="s">
        <v>155</v>
      </c>
      <c r="AZ22" s="13" t="s">
        <v>156</v>
      </c>
      <c r="BA22" s="13" t="s">
        <v>154</v>
      </c>
      <c r="BB22" s="13" t="s">
        <v>155</v>
      </c>
      <c r="BC22" s="13" t="s">
        <v>143</v>
      </c>
      <c r="BD22" s="13" t="s">
        <v>146</v>
      </c>
      <c r="BE22" s="13" t="s">
        <v>157</v>
      </c>
      <c r="BF22" s="13" t="s">
        <v>138</v>
      </c>
      <c r="BG22" s="13" t="s">
        <v>158</v>
      </c>
      <c r="BH22" s="13" t="s">
        <v>159</v>
      </c>
      <c r="BI22" s="13" t="s">
        <v>160</v>
      </c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 t="s">
        <v>161</v>
      </c>
    </row>
    <row r="23" spans="1:129" x14ac:dyDescent="0.2">
      <c r="A23" s="1" t="s">
        <v>211</v>
      </c>
      <c r="B23" s="1" t="s">
        <v>212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 t="s">
        <v>164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 t="s">
        <v>136</v>
      </c>
      <c r="Y23" s="1" t="s">
        <v>137</v>
      </c>
      <c r="Z23" s="1" t="s">
        <v>137</v>
      </c>
      <c r="AA23" s="1" t="s">
        <v>138</v>
      </c>
      <c r="AB23" s="1" t="s">
        <v>137</v>
      </c>
      <c r="AC23" s="1" t="s">
        <v>139</v>
      </c>
      <c r="AD23" s="1" t="s">
        <v>137</v>
      </c>
      <c r="AE23" s="1" t="s">
        <v>140</v>
      </c>
      <c r="AF23" s="1" t="s">
        <v>141</v>
      </c>
      <c r="AG23" s="1" t="s">
        <v>142</v>
      </c>
      <c r="AH23" s="1" t="s">
        <v>143</v>
      </c>
      <c r="AI23" s="1" t="s">
        <v>144</v>
      </c>
      <c r="AJ23" s="1" t="s">
        <v>145</v>
      </c>
      <c r="AK23" s="1" t="s">
        <v>138</v>
      </c>
      <c r="AL23" s="1" t="s">
        <v>146</v>
      </c>
      <c r="AM23" s="1" t="s">
        <v>147</v>
      </c>
      <c r="AN23" s="1" t="s">
        <v>148</v>
      </c>
      <c r="AO23" s="1" t="s">
        <v>149</v>
      </c>
      <c r="AP23" s="1" t="s">
        <v>150</v>
      </c>
      <c r="AQ23" s="1" t="s">
        <v>146</v>
      </c>
      <c r="AR23" s="1" t="s">
        <v>151</v>
      </c>
      <c r="AS23" s="1" t="s">
        <v>152</v>
      </c>
      <c r="AT23" s="1" t="s">
        <v>138</v>
      </c>
      <c r="AU23" s="1" t="s">
        <v>153</v>
      </c>
      <c r="AV23" s="1" t="s">
        <v>146</v>
      </c>
      <c r="AW23" s="1" t="s">
        <v>146</v>
      </c>
      <c r="AX23" s="1" t="s">
        <v>154</v>
      </c>
      <c r="AY23" s="1" t="s">
        <v>155</v>
      </c>
      <c r="AZ23" s="1" t="s">
        <v>156</v>
      </c>
      <c r="BA23" s="1" t="s">
        <v>154</v>
      </c>
      <c r="BB23" s="1" t="s">
        <v>155</v>
      </c>
      <c r="BC23" s="1" t="s">
        <v>143</v>
      </c>
      <c r="BD23" s="1" t="s">
        <v>146</v>
      </c>
      <c r="BE23" s="1" t="s">
        <v>157</v>
      </c>
      <c r="BF23" s="1" t="s">
        <v>138</v>
      </c>
      <c r="BG23" s="1" t="s">
        <v>158</v>
      </c>
      <c r="BH23" s="1" t="s">
        <v>159</v>
      </c>
      <c r="BI23" s="1" t="s">
        <v>160</v>
      </c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 t="s">
        <v>161</v>
      </c>
    </row>
    <row r="24" spans="1:129" x14ac:dyDescent="0.2">
      <c r="A24" s="1" t="s">
        <v>154</v>
      </c>
      <c r="B24" s="1" t="s">
        <v>213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135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 t="s">
        <v>136</v>
      </c>
      <c r="Y24" s="1" t="s">
        <v>137</v>
      </c>
      <c r="Z24" s="1" t="s">
        <v>137</v>
      </c>
      <c r="AA24" s="1" t="s">
        <v>138</v>
      </c>
      <c r="AB24" s="1" t="s">
        <v>137</v>
      </c>
      <c r="AC24" s="1" t="s">
        <v>139</v>
      </c>
      <c r="AD24" s="1" t="s">
        <v>137</v>
      </c>
      <c r="AE24" s="1" t="s">
        <v>140</v>
      </c>
      <c r="AF24" s="1" t="s">
        <v>141</v>
      </c>
      <c r="AG24" s="1" t="s">
        <v>142</v>
      </c>
      <c r="AH24" s="1" t="s">
        <v>143</v>
      </c>
      <c r="AI24" s="1" t="s">
        <v>144</v>
      </c>
      <c r="AJ24" s="1" t="s">
        <v>145</v>
      </c>
      <c r="AK24" s="1" t="s">
        <v>138</v>
      </c>
      <c r="AL24" s="1" t="s">
        <v>146</v>
      </c>
      <c r="AM24" s="1" t="s">
        <v>147</v>
      </c>
      <c r="AN24" s="1" t="s">
        <v>148</v>
      </c>
      <c r="AO24" s="1" t="s">
        <v>149</v>
      </c>
      <c r="AP24" s="1" t="s">
        <v>150</v>
      </c>
      <c r="AQ24" s="1" t="s">
        <v>146</v>
      </c>
      <c r="AR24" s="1" t="s">
        <v>151</v>
      </c>
      <c r="AS24" s="1" t="s">
        <v>152</v>
      </c>
      <c r="AT24" s="1" t="s">
        <v>138</v>
      </c>
      <c r="AU24" s="1" t="s">
        <v>153</v>
      </c>
      <c r="AV24" s="1" t="s">
        <v>146</v>
      </c>
      <c r="AW24" s="1" t="s">
        <v>146</v>
      </c>
      <c r="AX24" s="1" t="s">
        <v>154</v>
      </c>
      <c r="AY24" s="1" t="s">
        <v>155</v>
      </c>
      <c r="AZ24" s="1" t="s">
        <v>156</v>
      </c>
      <c r="BA24" s="1" t="s">
        <v>154</v>
      </c>
      <c r="BB24" s="1" t="s">
        <v>155</v>
      </c>
      <c r="BC24" s="1" t="s">
        <v>143</v>
      </c>
      <c r="BD24" s="1" t="s">
        <v>146</v>
      </c>
      <c r="BE24" s="1" t="s">
        <v>157</v>
      </c>
      <c r="BF24" s="1" t="s">
        <v>138</v>
      </c>
      <c r="BG24" s="1" t="s">
        <v>158</v>
      </c>
      <c r="BH24" s="1" t="s">
        <v>159</v>
      </c>
      <c r="BI24" s="1" t="s">
        <v>160</v>
      </c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 t="s">
        <v>161</v>
      </c>
    </row>
    <row r="25" spans="1:129" x14ac:dyDescent="0.2">
      <c r="A25" s="1" t="s">
        <v>148</v>
      </c>
      <c r="B25" s="1" t="s">
        <v>214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 t="s">
        <v>135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 t="s">
        <v>136</v>
      </c>
      <c r="Y25" s="1" t="s">
        <v>137</v>
      </c>
      <c r="Z25" s="1" t="s">
        <v>137</v>
      </c>
      <c r="AA25" s="1" t="s">
        <v>138</v>
      </c>
      <c r="AB25" s="1" t="s">
        <v>137</v>
      </c>
      <c r="AC25" s="1" t="s">
        <v>139</v>
      </c>
      <c r="AD25" s="1" t="s">
        <v>137</v>
      </c>
      <c r="AE25" s="1" t="s">
        <v>140</v>
      </c>
      <c r="AF25" s="1" t="s">
        <v>141</v>
      </c>
      <c r="AG25" s="1" t="s">
        <v>142</v>
      </c>
      <c r="AH25" s="1" t="s">
        <v>143</v>
      </c>
      <c r="AI25" s="1" t="s">
        <v>144</v>
      </c>
      <c r="AJ25" s="1" t="s">
        <v>145</v>
      </c>
      <c r="AK25" s="1" t="s">
        <v>138</v>
      </c>
      <c r="AL25" s="1" t="s">
        <v>146</v>
      </c>
      <c r="AM25" s="1" t="s">
        <v>147</v>
      </c>
      <c r="AN25" s="1" t="s">
        <v>148</v>
      </c>
      <c r="AO25" s="1" t="s">
        <v>149</v>
      </c>
      <c r="AP25" s="1" t="s">
        <v>150</v>
      </c>
      <c r="AQ25" s="1" t="s">
        <v>146</v>
      </c>
      <c r="AR25" s="1" t="s">
        <v>151</v>
      </c>
      <c r="AS25" s="1" t="s">
        <v>152</v>
      </c>
      <c r="AT25" s="1" t="s">
        <v>138</v>
      </c>
      <c r="AU25" s="1" t="s">
        <v>153</v>
      </c>
      <c r="AV25" s="1" t="s">
        <v>146</v>
      </c>
      <c r="AW25" s="1" t="s">
        <v>146</v>
      </c>
      <c r="AX25" s="1" t="s">
        <v>154</v>
      </c>
      <c r="AY25" s="1" t="s">
        <v>155</v>
      </c>
      <c r="AZ25" s="1" t="s">
        <v>156</v>
      </c>
      <c r="BA25" s="1" t="s">
        <v>154</v>
      </c>
      <c r="BB25" s="1" t="s">
        <v>155</v>
      </c>
      <c r="BC25" s="1" t="s">
        <v>143</v>
      </c>
      <c r="BD25" s="1" t="s">
        <v>146</v>
      </c>
      <c r="BE25" s="1" t="s">
        <v>157</v>
      </c>
      <c r="BF25" s="1" t="s">
        <v>138</v>
      </c>
      <c r="BG25" s="1" t="s">
        <v>158</v>
      </c>
      <c r="BH25" s="1" t="s">
        <v>159</v>
      </c>
      <c r="BI25" s="1" t="s">
        <v>160</v>
      </c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 t="s">
        <v>161</v>
      </c>
    </row>
    <row r="26" spans="1:129" x14ac:dyDescent="0.2">
      <c r="A26" s="1" t="s">
        <v>155</v>
      </c>
      <c r="B26" s="1" t="s">
        <v>215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 t="s">
        <v>164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 t="s">
        <v>136</v>
      </c>
      <c r="Y26" s="1" t="s">
        <v>137</v>
      </c>
      <c r="Z26" s="1" t="s">
        <v>137</v>
      </c>
      <c r="AA26" s="1" t="s">
        <v>138</v>
      </c>
      <c r="AB26" s="1" t="s">
        <v>137</v>
      </c>
      <c r="AC26" s="1" t="s">
        <v>139</v>
      </c>
      <c r="AD26" s="1" t="s">
        <v>137</v>
      </c>
      <c r="AE26" s="1" t="s">
        <v>140</v>
      </c>
      <c r="AF26" s="1" t="s">
        <v>141</v>
      </c>
      <c r="AG26" s="1" t="s">
        <v>142</v>
      </c>
      <c r="AH26" s="1" t="s">
        <v>143</v>
      </c>
      <c r="AI26" s="1" t="s">
        <v>144</v>
      </c>
      <c r="AJ26" s="1" t="s">
        <v>145</v>
      </c>
      <c r="AK26" s="1" t="s">
        <v>138</v>
      </c>
      <c r="AL26" s="1" t="s">
        <v>146</v>
      </c>
      <c r="AM26" s="1" t="s">
        <v>147</v>
      </c>
      <c r="AN26" s="1" t="s">
        <v>148</v>
      </c>
      <c r="AO26" s="1" t="s">
        <v>149</v>
      </c>
      <c r="AP26" s="1" t="s">
        <v>150</v>
      </c>
      <c r="AQ26" s="1" t="s">
        <v>146</v>
      </c>
      <c r="AR26" s="1" t="s">
        <v>151</v>
      </c>
      <c r="AS26" s="1" t="s">
        <v>152</v>
      </c>
      <c r="AT26" s="1" t="s">
        <v>138</v>
      </c>
      <c r="AU26" s="1" t="s">
        <v>153</v>
      </c>
      <c r="AV26" s="1" t="s">
        <v>146</v>
      </c>
      <c r="AW26" s="1" t="s">
        <v>146</v>
      </c>
      <c r="AX26" s="1" t="s">
        <v>154</v>
      </c>
      <c r="AY26" s="1" t="s">
        <v>155</v>
      </c>
      <c r="AZ26" s="1" t="s">
        <v>156</v>
      </c>
      <c r="BA26" s="1" t="s">
        <v>154</v>
      </c>
      <c r="BB26" s="1" t="s">
        <v>155</v>
      </c>
      <c r="BC26" s="1" t="s">
        <v>143</v>
      </c>
      <c r="BD26" s="1" t="s">
        <v>146</v>
      </c>
      <c r="BE26" s="1" t="s">
        <v>157</v>
      </c>
      <c r="BF26" s="1" t="s">
        <v>138</v>
      </c>
      <c r="BG26" s="1" t="s">
        <v>158</v>
      </c>
      <c r="BH26" s="1" t="s">
        <v>159</v>
      </c>
      <c r="BI26" s="1" t="s">
        <v>160</v>
      </c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 t="s">
        <v>161</v>
      </c>
    </row>
    <row r="27" spans="1:129" x14ac:dyDescent="0.2">
      <c r="A27" s="1" t="s">
        <v>198</v>
      </c>
      <c r="B27" s="1" t="s">
        <v>216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 t="s">
        <v>135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 t="s">
        <v>136</v>
      </c>
      <c r="Y27" s="1" t="s">
        <v>137</v>
      </c>
      <c r="Z27" s="1" t="s">
        <v>137</v>
      </c>
      <c r="AA27" s="1" t="s">
        <v>138</v>
      </c>
      <c r="AB27" s="1" t="s">
        <v>137</v>
      </c>
      <c r="AC27" s="1" t="s">
        <v>139</v>
      </c>
      <c r="AD27" s="1" t="s">
        <v>137</v>
      </c>
      <c r="AE27" s="1" t="s">
        <v>140</v>
      </c>
      <c r="AF27" s="1" t="s">
        <v>141</v>
      </c>
      <c r="AG27" s="1" t="s">
        <v>142</v>
      </c>
      <c r="AH27" s="1" t="s">
        <v>143</v>
      </c>
      <c r="AI27" s="1" t="s">
        <v>144</v>
      </c>
      <c r="AJ27" s="1" t="s">
        <v>145</v>
      </c>
      <c r="AK27" s="1" t="s">
        <v>138</v>
      </c>
      <c r="AL27" s="1" t="s">
        <v>146</v>
      </c>
      <c r="AM27" s="1" t="s">
        <v>147</v>
      </c>
      <c r="AN27" s="1" t="s">
        <v>148</v>
      </c>
      <c r="AO27" s="1" t="s">
        <v>149</v>
      </c>
      <c r="AP27" s="1" t="s">
        <v>150</v>
      </c>
      <c r="AQ27" s="1" t="s">
        <v>146</v>
      </c>
      <c r="AR27" s="1" t="s">
        <v>151</v>
      </c>
      <c r="AS27" s="1" t="s">
        <v>152</v>
      </c>
      <c r="AT27" s="1" t="s">
        <v>138</v>
      </c>
      <c r="AU27" s="1" t="s">
        <v>153</v>
      </c>
      <c r="AV27" s="1" t="s">
        <v>146</v>
      </c>
      <c r="AW27" s="1" t="s">
        <v>146</v>
      </c>
      <c r="AX27" s="1" t="s">
        <v>154</v>
      </c>
      <c r="AY27" s="1" t="s">
        <v>155</v>
      </c>
      <c r="AZ27" s="1" t="s">
        <v>156</v>
      </c>
      <c r="BA27" s="1" t="s">
        <v>154</v>
      </c>
      <c r="BB27" s="1" t="s">
        <v>155</v>
      </c>
      <c r="BC27" s="1" t="s">
        <v>143</v>
      </c>
      <c r="BD27" s="1" t="s">
        <v>146</v>
      </c>
      <c r="BE27" s="1" t="s">
        <v>157</v>
      </c>
      <c r="BF27" s="1" t="s">
        <v>138</v>
      </c>
      <c r="BG27" s="1" t="s">
        <v>158</v>
      </c>
      <c r="BH27" s="1" t="s">
        <v>159</v>
      </c>
      <c r="BI27" s="1" t="s">
        <v>160</v>
      </c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 t="s">
        <v>161</v>
      </c>
    </row>
    <row r="28" spans="1:129" x14ac:dyDescent="0.2">
      <c r="A28" s="1" t="s">
        <v>144</v>
      </c>
      <c r="B28" s="1" t="s">
        <v>217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 t="s">
        <v>135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 t="s">
        <v>136</v>
      </c>
      <c r="Y28" s="1" t="s">
        <v>137</v>
      </c>
      <c r="Z28" s="1" t="s">
        <v>137</v>
      </c>
      <c r="AA28" s="1" t="s">
        <v>138</v>
      </c>
      <c r="AB28" s="1" t="s">
        <v>137</v>
      </c>
      <c r="AC28" s="1" t="s">
        <v>139</v>
      </c>
      <c r="AD28" s="1" t="s">
        <v>137</v>
      </c>
      <c r="AE28" s="1" t="s">
        <v>140</v>
      </c>
      <c r="AF28" s="1" t="s">
        <v>141</v>
      </c>
      <c r="AG28" s="1" t="s">
        <v>142</v>
      </c>
      <c r="AH28" s="1" t="s">
        <v>143</v>
      </c>
      <c r="AI28" s="1" t="s">
        <v>144</v>
      </c>
      <c r="AJ28" s="1" t="s">
        <v>145</v>
      </c>
      <c r="AK28" s="1" t="s">
        <v>138</v>
      </c>
      <c r="AL28" s="1" t="s">
        <v>146</v>
      </c>
      <c r="AM28" s="1" t="s">
        <v>147</v>
      </c>
      <c r="AN28" s="1" t="s">
        <v>148</v>
      </c>
      <c r="AO28" s="1" t="s">
        <v>149</v>
      </c>
      <c r="AP28" s="1" t="s">
        <v>150</v>
      </c>
      <c r="AQ28" s="1" t="s">
        <v>146</v>
      </c>
      <c r="AR28" s="1" t="s">
        <v>151</v>
      </c>
      <c r="AS28" s="1" t="s">
        <v>152</v>
      </c>
      <c r="AT28" s="1" t="s">
        <v>138</v>
      </c>
      <c r="AU28" s="1" t="s">
        <v>153</v>
      </c>
      <c r="AV28" s="1" t="s">
        <v>146</v>
      </c>
      <c r="AW28" s="1" t="s">
        <v>146</v>
      </c>
      <c r="AX28" s="1" t="s">
        <v>154</v>
      </c>
      <c r="AY28" s="1" t="s">
        <v>155</v>
      </c>
      <c r="AZ28" s="1" t="s">
        <v>156</v>
      </c>
      <c r="BA28" s="1" t="s">
        <v>154</v>
      </c>
      <c r="BB28" s="1" t="s">
        <v>155</v>
      </c>
      <c r="BC28" s="1" t="s">
        <v>143</v>
      </c>
      <c r="BD28" s="1" t="s">
        <v>146</v>
      </c>
      <c r="BE28" s="1" t="s">
        <v>157</v>
      </c>
      <c r="BF28" s="1" t="s">
        <v>138</v>
      </c>
      <c r="BG28" s="1" t="s">
        <v>158</v>
      </c>
      <c r="BH28" s="1" t="s">
        <v>159</v>
      </c>
      <c r="BI28" s="1" t="s">
        <v>160</v>
      </c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 t="s">
        <v>161</v>
      </c>
    </row>
    <row r="29" spans="1:129" x14ac:dyDescent="0.2">
      <c r="A29" s="1" t="s">
        <v>218</v>
      </c>
      <c r="B29" s="1" t="s">
        <v>219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 t="s">
        <v>135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 t="s">
        <v>136</v>
      </c>
      <c r="Y29" s="1" t="s">
        <v>137</v>
      </c>
      <c r="Z29" s="1" t="s">
        <v>137</v>
      </c>
      <c r="AA29" s="1" t="s">
        <v>138</v>
      </c>
      <c r="AB29" s="1" t="s">
        <v>137</v>
      </c>
      <c r="AC29" s="1" t="s">
        <v>139</v>
      </c>
      <c r="AD29" s="1" t="s">
        <v>137</v>
      </c>
      <c r="AE29" s="1" t="s">
        <v>140</v>
      </c>
      <c r="AF29" s="1" t="s">
        <v>141</v>
      </c>
      <c r="AG29" s="1" t="s">
        <v>142</v>
      </c>
      <c r="AH29" s="1" t="s">
        <v>143</v>
      </c>
      <c r="AI29" s="1" t="s">
        <v>144</v>
      </c>
      <c r="AJ29" s="1" t="s">
        <v>145</v>
      </c>
      <c r="AK29" s="1" t="s">
        <v>138</v>
      </c>
      <c r="AL29" s="1" t="s">
        <v>146</v>
      </c>
      <c r="AM29" s="1" t="s">
        <v>147</v>
      </c>
      <c r="AN29" s="1" t="s">
        <v>148</v>
      </c>
      <c r="AO29" s="1" t="s">
        <v>149</v>
      </c>
      <c r="AP29" s="1" t="s">
        <v>150</v>
      </c>
      <c r="AQ29" s="1" t="s">
        <v>146</v>
      </c>
      <c r="AR29" s="1" t="s">
        <v>151</v>
      </c>
      <c r="AS29" s="1" t="s">
        <v>152</v>
      </c>
      <c r="AT29" s="1" t="s">
        <v>138</v>
      </c>
      <c r="AU29" s="1" t="s">
        <v>153</v>
      </c>
      <c r="AV29" s="1" t="s">
        <v>146</v>
      </c>
      <c r="AW29" s="1" t="s">
        <v>146</v>
      </c>
      <c r="AX29" s="1" t="s">
        <v>154</v>
      </c>
      <c r="AY29" s="1" t="s">
        <v>155</v>
      </c>
      <c r="AZ29" s="1" t="s">
        <v>156</v>
      </c>
      <c r="BA29" s="1" t="s">
        <v>154</v>
      </c>
      <c r="BB29" s="1" t="s">
        <v>155</v>
      </c>
      <c r="BC29" s="1" t="s">
        <v>143</v>
      </c>
      <c r="BD29" s="1" t="s">
        <v>146</v>
      </c>
      <c r="BE29" s="1" t="s">
        <v>157</v>
      </c>
      <c r="BF29" s="1" t="s">
        <v>138</v>
      </c>
      <c r="BG29" s="1" t="s">
        <v>158</v>
      </c>
      <c r="BH29" s="1" t="s">
        <v>159</v>
      </c>
      <c r="BI29" s="1" t="s">
        <v>160</v>
      </c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 t="s">
        <v>161</v>
      </c>
    </row>
    <row r="30" spans="1:129" x14ac:dyDescent="0.2">
      <c r="A30" s="1" t="s">
        <v>220</v>
      </c>
      <c r="B30" s="1" t="s">
        <v>221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 t="s">
        <v>135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 t="s">
        <v>136</v>
      </c>
      <c r="Y30" s="1" t="s">
        <v>137</v>
      </c>
      <c r="Z30" s="1" t="s">
        <v>137</v>
      </c>
      <c r="AA30" s="1" t="s">
        <v>138</v>
      </c>
      <c r="AB30" s="1" t="s">
        <v>137</v>
      </c>
      <c r="AC30" s="1" t="s">
        <v>139</v>
      </c>
      <c r="AD30" s="1" t="s">
        <v>137</v>
      </c>
      <c r="AE30" s="1" t="s">
        <v>140</v>
      </c>
      <c r="AF30" s="1" t="s">
        <v>141</v>
      </c>
      <c r="AG30" s="1" t="s">
        <v>142</v>
      </c>
      <c r="AH30" s="1" t="s">
        <v>143</v>
      </c>
      <c r="AI30" s="1" t="s">
        <v>144</v>
      </c>
      <c r="AJ30" s="1" t="s">
        <v>145</v>
      </c>
      <c r="AK30" s="1" t="s">
        <v>138</v>
      </c>
      <c r="AL30" s="1" t="s">
        <v>146</v>
      </c>
      <c r="AM30" s="1" t="s">
        <v>147</v>
      </c>
      <c r="AN30" s="1" t="s">
        <v>148</v>
      </c>
      <c r="AO30" s="1" t="s">
        <v>149</v>
      </c>
      <c r="AP30" s="1" t="s">
        <v>150</v>
      </c>
      <c r="AQ30" s="1" t="s">
        <v>146</v>
      </c>
      <c r="AR30" s="1" t="s">
        <v>151</v>
      </c>
      <c r="AS30" s="1" t="s">
        <v>152</v>
      </c>
      <c r="AT30" s="1" t="s">
        <v>138</v>
      </c>
      <c r="AU30" s="1" t="s">
        <v>153</v>
      </c>
      <c r="AV30" s="1" t="s">
        <v>146</v>
      </c>
      <c r="AW30" s="1" t="s">
        <v>146</v>
      </c>
      <c r="AX30" s="1" t="s">
        <v>154</v>
      </c>
      <c r="AY30" s="1" t="s">
        <v>155</v>
      </c>
      <c r="AZ30" s="1" t="s">
        <v>156</v>
      </c>
      <c r="BA30" s="1" t="s">
        <v>154</v>
      </c>
      <c r="BB30" s="1" t="s">
        <v>155</v>
      </c>
      <c r="BC30" s="1" t="s">
        <v>143</v>
      </c>
      <c r="BD30" s="1" t="s">
        <v>146</v>
      </c>
      <c r="BE30" s="1" t="s">
        <v>157</v>
      </c>
      <c r="BF30" s="1" t="s">
        <v>138</v>
      </c>
      <c r="BG30" s="1" t="s">
        <v>158</v>
      </c>
      <c r="BH30" s="1" t="s">
        <v>159</v>
      </c>
      <c r="BI30" s="1" t="s">
        <v>160</v>
      </c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 t="s">
        <v>161</v>
      </c>
    </row>
    <row r="31" spans="1:129" x14ac:dyDescent="0.2">
      <c r="A31" s="1" t="s">
        <v>222</v>
      </c>
      <c r="B31" s="1" t="s">
        <v>223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 t="s">
        <v>135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 t="s">
        <v>136</v>
      </c>
      <c r="Y31" s="1" t="s">
        <v>137</v>
      </c>
      <c r="Z31" s="1" t="s">
        <v>137</v>
      </c>
      <c r="AA31" s="1" t="s">
        <v>138</v>
      </c>
      <c r="AB31" s="1" t="s">
        <v>137</v>
      </c>
      <c r="AC31" s="1" t="s">
        <v>139</v>
      </c>
      <c r="AD31" s="1" t="s">
        <v>137</v>
      </c>
      <c r="AE31" s="1" t="s">
        <v>140</v>
      </c>
      <c r="AF31" s="1" t="s">
        <v>141</v>
      </c>
      <c r="AG31" s="1" t="s">
        <v>142</v>
      </c>
      <c r="AH31" s="1" t="s">
        <v>143</v>
      </c>
      <c r="AI31" s="1" t="s">
        <v>144</v>
      </c>
      <c r="AJ31" s="1" t="s">
        <v>145</v>
      </c>
      <c r="AK31" s="1" t="s">
        <v>138</v>
      </c>
      <c r="AL31" s="1" t="s">
        <v>146</v>
      </c>
      <c r="AM31" s="1" t="s">
        <v>147</v>
      </c>
      <c r="AN31" s="1" t="s">
        <v>148</v>
      </c>
      <c r="AO31" s="1" t="s">
        <v>149</v>
      </c>
      <c r="AP31" s="1" t="s">
        <v>150</v>
      </c>
      <c r="AQ31" s="1" t="s">
        <v>146</v>
      </c>
      <c r="AR31" s="1" t="s">
        <v>151</v>
      </c>
      <c r="AS31" s="1" t="s">
        <v>152</v>
      </c>
      <c r="AT31" s="1" t="s">
        <v>138</v>
      </c>
      <c r="AU31" s="1" t="s">
        <v>153</v>
      </c>
      <c r="AV31" s="1" t="s">
        <v>146</v>
      </c>
      <c r="AW31" s="1" t="s">
        <v>146</v>
      </c>
      <c r="AX31" s="1" t="s">
        <v>154</v>
      </c>
      <c r="AY31" s="1" t="s">
        <v>155</v>
      </c>
      <c r="AZ31" s="1" t="s">
        <v>156</v>
      </c>
      <c r="BA31" s="1" t="s">
        <v>154</v>
      </c>
      <c r="BB31" s="1" t="s">
        <v>155</v>
      </c>
      <c r="BC31" s="1" t="s">
        <v>143</v>
      </c>
      <c r="BD31" s="1" t="s">
        <v>146</v>
      </c>
      <c r="BE31" s="1" t="s">
        <v>157</v>
      </c>
      <c r="BF31" s="1" t="s">
        <v>138</v>
      </c>
      <c r="BG31" s="1" t="s">
        <v>158</v>
      </c>
      <c r="BH31" s="1" t="s">
        <v>159</v>
      </c>
      <c r="BI31" s="1" t="s">
        <v>160</v>
      </c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 t="s">
        <v>161</v>
      </c>
    </row>
    <row r="32" spans="1:129" x14ac:dyDescent="0.2">
      <c r="A32" s="1" t="s">
        <v>158</v>
      </c>
      <c r="B32" s="1" t="s">
        <v>224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 t="s">
        <v>164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 t="s">
        <v>136</v>
      </c>
      <c r="Y32" s="1" t="s">
        <v>137</v>
      </c>
      <c r="Z32" s="1" t="s">
        <v>188</v>
      </c>
      <c r="AA32" s="1" t="s">
        <v>138</v>
      </c>
      <c r="AB32" s="1" t="s">
        <v>188</v>
      </c>
      <c r="AC32" s="1" t="s">
        <v>139</v>
      </c>
      <c r="AD32" s="1" t="s">
        <v>137</v>
      </c>
      <c r="AE32" s="1" t="s">
        <v>140</v>
      </c>
      <c r="AF32" s="1" t="s">
        <v>141</v>
      </c>
      <c r="AG32" s="1" t="s">
        <v>142</v>
      </c>
      <c r="AH32" s="1" t="s">
        <v>143</v>
      </c>
      <c r="AI32" s="1" t="s">
        <v>144</v>
      </c>
      <c r="AJ32" s="1" t="s">
        <v>145</v>
      </c>
      <c r="AK32" s="1" t="s">
        <v>138</v>
      </c>
      <c r="AL32" s="1" t="s">
        <v>146</v>
      </c>
      <c r="AM32" s="1" t="s">
        <v>147</v>
      </c>
      <c r="AN32" s="1" t="s">
        <v>148</v>
      </c>
      <c r="AO32" s="1" t="s">
        <v>149</v>
      </c>
      <c r="AP32" s="1" t="s">
        <v>150</v>
      </c>
      <c r="AQ32" s="1" t="s">
        <v>146</v>
      </c>
      <c r="AR32" s="1" t="s">
        <v>151</v>
      </c>
      <c r="AS32" s="1" t="s">
        <v>152</v>
      </c>
      <c r="AT32" s="1" t="s">
        <v>138</v>
      </c>
      <c r="AU32" s="1" t="s">
        <v>153</v>
      </c>
      <c r="AV32" s="1" t="s">
        <v>146</v>
      </c>
      <c r="AW32" s="1" t="s">
        <v>146</v>
      </c>
      <c r="AX32" s="1" t="s">
        <v>154</v>
      </c>
      <c r="AY32" s="1" t="s">
        <v>155</v>
      </c>
      <c r="AZ32" s="1" t="s">
        <v>156</v>
      </c>
      <c r="BA32" s="1" t="s">
        <v>154</v>
      </c>
      <c r="BB32" s="1" t="s">
        <v>155</v>
      </c>
      <c r="BC32" s="1" t="s">
        <v>143</v>
      </c>
      <c r="BD32" s="1" t="s">
        <v>146</v>
      </c>
      <c r="BE32" s="1" t="s">
        <v>157</v>
      </c>
      <c r="BF32" s="1" t="s">
        <v>138</v>
      </c>
      <c r="BG32" s="1" t="s">
        <v>158</v>
      </c>
      <c r="BH32" s="1" t="s">
        <v>159</v>
      </c>
      <c r="BI32" s="1" t="s">
        <v>160</v>
      </c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 t="s">
        <v>161</v>
      </c>
    </row>
    <row r="33" spans="1:129" x14ac:dyDescent="0.2">
      <c r="A33" s="1" t="s">
        <v>225</v>
      </c>
      <c r="B33" s="1" t="s">
        <v>226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 t="s">
        <v>164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 t="s">
        <v>136</v>
      </c>
      <c r="Y33" s="1" t="s">
        <v>137</v>
      </c>
      <c r="Z33" s="1" t="s">
        <v>137</v>
      </c>
      <c r="AA33" s="1" t="s">
        <v>138</v>
      </c>
      <c r="AB33" s="1" t="s">
        <v>137</v>
      </c>
      <c r="AC33" s="1" t="s">
        <v>139</v>
      </c>
      <c r="AD33" s="1" t="s">
        <v>137</v>
      </c>
      <c r="AE33" s="1" t="s">
        <v>140</v>
      </c>
      <c r="AF33" s="1" t="s">
        <v>141</v>
      </c>
      <c r="AG33" s="1" t="s">
        <v>142</v>
      </c>
      <c r="AH33" s="1" t="s">
        <v>143</v>
      </c>
      <c r="AI33" s="1" t="s">
        <v>144</v>
      </c>
      <c r="AJ33" s="1" t="s">
        <v>145</v>
      </c>
      <c r="AK33" s="1" t="s">
        <v>138</v>
      </c>
      <c r="AL33" s="1" t="s">
        <v>146</v>
      </c>
      <c r="AM33" s="1" t="s">
        <v>147</v>
      </c>
      <c r="AN33" s="1" t="s">
        <v>148</v>
      </c>
      <c r="AO33" s="1" t="s">
        <v>149</v>
      </c>
      <c r="AP33" s="1" t="s">
        <v>150</v>
      </c>
      <c r="AQ33" s="1" t="s">
        <v>146</v>
      </c>
      <c r="AR33" s="1" t="s">
        <v>151</v>
      </c>
      <c r="AS33" s="1" t="s">
        <v>152</v>
      </c>
      <c r="AT33" s="1" t="s">
        <v>138</v>
      </c>
      <c r="AU33" s="1" t="s">
        <v>153</v>
      </c>
      <c r="AV33" s="1" t="s">
        <v>146</v>
      </c>
      <c r="AW33" s="1" t="s">
        <v>146</v>
      </c>
      <c r="AX33" s="1" t="s">
        <v>154</v>
      </c>
      <c r="AY33" s="1" t="s">
        <v>155</v>
      </c>
      <c r="AZ33" s="1" t="s">
        <v>156</v>
      </c>
      <c r="BA33" s="1" t="s">
        <v>154</v>
      </c>
      <c r="BB33" s="1" t="s">
        <v>155</v>
      </c>
      <c r="BC33" s="1" t="s">
        <v>143</v>
      </c>
      <c r="BD33" s="1" t="s">
        <v>146</v>
      </c>
      <c r="BE33" s="1" t="s">
        <v>157</v>
      </c>
      <c r="BF33" s="1" t="s">
        <v>138</v>
      </c>
      <c r="BG33" s="1" t="s">
        <v>158</v>
      </c>
      <c r="BH33" s="1" t="s">
        <v>159</v>
      </c>
      <c r="BI33" s="1" t="s">
        <v>160</v>
      </c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 t="s">
        <v>161</v>
      </c>
    </row>
    <row r="34" spans="1:129" s="14" customFormat="1" x14ac:dyDescent="0.2">
      <c r="A34" s="13" t="s">
        <v>199</v>
      </c>
      <c r="B34" s="13" t="s">
        <v>227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 t="s">
        <v>135</v>
      </c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 t="s">
        <v>136</v>
      </c>
      <c r="Y34" s="13" t="s">
        <v>137</v>
      </c>
      <c r="Z34" s="13" t="s">
        <v>137</v>
      </c>
      <c r="AA34" s="13" t="s">
        <v>138</v>
      </c>
      <c r="AB34" s="13" t="s">
        <v>137</v>
      </c>
      <c r="AC34" s="13" t="s">
        <v>139</v>
      </c>
      <c r="AD34" s="13" t="s">
        <v>137</v>
      </c>
      <c r="AE34" s="13" t="s">
        <v>140</v>
      </c>
      <c r="AF34" s="13" t="s">
        <v>141</v>
      </c>
      <c r="AG34" s="13" t="s">
        <v>142</v>
      </c>
      <c r="AH34" s="13" t="s">
        <v>143</v>
      </c>
      <c r="AI34" s="13" t="s">
        <v>144</v>
      </c>
      <c r="AJ34" s="13" t="s">
        <v>145</v>
      </c>
      <c r="AK34" s="13" t="s">
        <v>138</v>
      </c>
      <c r="AL34" s="13" t="s">
        <v>146</v>
      </c>
      <c r="AM34" s="13" t="s">
        <v>147</v>
      </c>
      <c r="AN34" s="13" t="s">
        <v>148</v>
      </c>
      <c r="AO34" s="13" t="s">
        <v>149</v>
      </c>
      <c r="AP34" s="13" t="s">
        <v>150</v>
      </c>
      <c r="AQ34" s="13" t="s">
        <v>146</v>
      </c>
      <c r="AR34" s="13" t="s">
        <v>151</v>
      </c>
      <c r="AS34" s="13" t="s">
        <v>152</v>
      </c>
      <c r="AT34" s="13" t="s">
        <v>138</v>
      </c>
      <c r="AU34" s="13" t="s">
        <v>153</v>
      </c>
      <c r="AV34" s="13" t="s">
        <v>146</v>
      </c>
      <c r="AW34" s="13" t="s">
        <v>146</v>
      </c>
      <c r="AX34" s="13" t="s">
        <v>154</v>
      </c>
      <c r="AY34" s="13" t="s">
        <v>155</v>
      </c>
      <c r="AZ34" s="13" t="s">
        <v>156</v>
      </c>
      <c r="BA34" s="13" t="s">
        <v>154</v>
      </c>
      <c r="BB34" s="13" t="s">
        <v>155</v>
      </c>
      <c r="BC34" s="13" t="s">
        <v>143</v>
      </c>
      <c r="BD34" s="13" t="s">
        <v>146</v>
      </c>
      <c r="BE34" s="13" t="s">
        <v>157</v>
      </c>
      <c r="BF34" s="13" t="s">
        <v>138</v>
      </c>
      <c r="BG34" s="13" t="s">
        <v>158</v>
      </c>
      <c r="BH34" s="13" t="s">
        <v>159</v>
      </c>
      <c r="BI34" s="13" t="s">
        <v>160</v>
      </c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 t="s">
        <v>161</v>
      </c>
    </row>
    <row r="35" spans="1:129" x14ac:dyDescent="0.2">
      <c r="A35" s="1" t="s">
        <v>156</v>
      </c>
      <c r="B35" s="1" t="s">
        <v>228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 t="s">
        <v>135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 t="s">
        <v>136</v>
      </c>
      <c r="Y35" s="1" t="s">
        <v>137</v>
      </c>
      <c r="Z35" s="1" t="s">
        <v>137</v>
      </c>
      <c r="AA35" s="1" t="s">
        <v>138</v>
      </c>
      <c r="AB35" s="1" t="s">
        <v>137</v>
      </c>
      <c r="AC35" s="1" t="s">
        <v>139</v>
      </c>
      <c r="AD35" s="1" t="s">
        <v>137</v>
      </c>
      <c r="AE35" s="1" t="s">
        <v>140</v>
      </c>
      <c r="AF35" s="1" t="s">
        <v>141</v>
      </c>
      <c r="AG35" s="1" t="s">
        <v>142</v>
      </c>
      <c r="AH35" s="1" t="s">
        <v>143</v>
      </c>
      <c r="AI35" s="1" t="s">
        <v>144</v>
      </c>
      <c r="AJ35" s="1" t="s">
        <v>145</v>
      </c>
      <c r="AK35" s="1" t="s">
        <v>138</v>
      </c>
      <c r="AL35" s="1" t="s">
        <v>146</v>
      </c>
      <c r="AM35" s="1" t="s">
        <v>147</v>
      </c>
      <c r="AN35" s="1" t="s">
        <v>148</v>
      </c>
      <c r="AO35" s="1" t="s">
        <v>149</v>
      </c>
      <c r="AP35" s="1" t="s">
        <v>150</v>
      </c>
      <c r="AQ35" s="1" t="s">
        <v>146</v>
      </c>
      <c r="AR35" s="1" t="s">
        <v>151</v>
      </c>
      <c r="AS35" s="1" t="s">
        <v>152</v>
      </c>
      <c r="AT35" s="1" t="s">
        <v>138</v>
      </c>
      <c r="AU35" s="1" t="s">
        <v>153</v>
      </c>
      <c r="AV35" s="1" t="s">
        <v>146</v>
      </c>
      <c r="AW35" s="1" t="s">
        <v>146</v>
      </c>
      <c r="AX35" s="1" t="s">
        <v>154</v>
      </c>
      <c r="AY35" s="1" t="s">
        <v>155</v>
      </c>
      <c r="AZ35" s="1" t="s">
        <v>156</v>
      </c>
      <c r="BA35" s="1" t="s">
        <v>154</v>
      </c>
      <c r="BB35" s="1" t="s">
        <v>155</v>
      </c>
      <c r="BC35" s="1" t="s">
        <v>143</v>
      </c>
      <c r="BD35" s="1" t="s">
        <v>146</v>
      </c>
      <c r="BE35" s="1" t="s">
        <v>157</v>
      </c>
      <c r="BF35" s="1" t="s">
        <v>138</v>
      </c>
      <c r="BG35" s="1" t="s">
        <v>158</v>
      </c>
      <c r="BH35" s="1" t="s">
        <v>159</v>
      </c>
      <c r="BI35" s="1" t="s">
        <v>160</v>
      </c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 t="s">
        <v>161</v>
      </c>
    </row>
    <row r="36" spans="1:129" x14ac:dyDescent="0.2">
      <c r="A36" s="1" t="s">
        <v>229</v>
      </c>
      <c r="B36" s="1" t="s">
        <v>230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 t="s">
        <v>135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 t="s">
        <v>136</v>
      </c>
      <c r="Y36" s="1" t="s">
        <v>137</v>
      </c>
      <c r="Z36" s="1" t="s">
        <v>137</v>
      </c>
      <c r="AA36" s="1" t="s">
        <v>138</v>
      </c>
      <c r="AB36" s="1" t="s">
        <v>137</v>
      </c>
      <c r="AC36" s="1" t="s">
        <v>139</v>
      </c>
      <c r="AD36" s="1" t="s">
        <v>137</v>
      </c>
      <c r="AE36" s="1" t="s">
        <v>140</v>
      </c>
      <c r="AF36" s="1" t="s">
        <v>141</v>
      </c>
      <c r="AG36" s="1" t="s">
        <v>142</v>
      </c>
      <c r="AH36" s="1" t="s">
        <v>143</v>
      </c>
      <c r="AI36" s="1" t="s">
        <v>144</v>
      </c>
      <c r="AJ36" s="1" t="s">
        <v>145</v>
      </c>
      <c r="AK36" s="1" t="s">
        <v>138</v>
      </c>
      <c r="AL36" s="1" t="s">
        <v>146</v>
      </c>
      <c r="AM36" s="1" t="s">
        <v>147</v>
      </c>
      <c r="AN36" s="1" t="s">
        <v>148</v>
      </c>
      <c r="AO36" s="1" t="s">
        <v>149</v>
      </c>
      <c r="AP36" s="1" t="s">
        <v>150</v>
      </c>
      <c r="AQ36" s="1" t="s">
        <v>146</v>
      </c>
      <c r="AR36" s="1" t="s">
        <v>151</v>
      </c>
      <c r="AS36" s="1" t="s">
        <v>152</v>
      </c>
      <c r="AT36" s="1" t="s">
        <v>138</v>
      </c>
      <c r="AU36" s="1" t="s">
        <v>153</v>
      </c>
      <c r="AV36" s="1" t="s">
        <v>146</v>
      </c>
      <c r="AW36" s="1" t="s">
        <v>146</v>
      </c>
      <c r="AX36" s="1" t="s">
        <v>154</v>
      </c>
      <c r="AY36" s="1" t="s">
        <v>155</v>
      </c>
      <c r="AZ36" s="1" t="s">
        <v>156</v>
      </c>
      <c r="BA36" s="1" t="s">
        <v>154</v>
      </c>
      <c r="BB36" s="1" t="s">
        <v>155</v>
      </c>
      <c r="BC36" s="1" t="s">
        <v>143</v>
      </c>
      <c r="BD36" s="1" t="s">
        <v>146</v>
      </c>
      <c r="BE36" s="1" t="s">
        <v>157</v>
      </c>
      <c r="BF36" s="1" t="s">
        <v>138</v>
      </c>
      <c r="BG36" s="1" t="s">
        <v>158</v>
      </c>
      <c r="BH36" s="1" t="s">
        <v>159</v>
      </c>
      <c r="BI36" s="1" t="s">
        <v>160</v>
      </c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 t="s">
        <v>161</v>
      </c>
    </row>
    <row r="37" spans="1:129" x14ac:dyDescent="0.2">
      <c r="A37" s="1" t="s">
        <v>231</v>
      </c>
      <c r="B37" s="1" t="s">
        <v>232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 t="s">
        <v>135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 t="s">
        <v>136</v>
      </c>
      <c r="Y37" s="1" t="s">
        <v>137</v>
      </c>
      <c r="Z37" s="1" t="s">
        <v>137</v>
      </c>
      <c r="AA37" s="1" t="s">
        <v>138</v>
      </c>
      <c r="AB37" s="1" t="s">
        <v>137</v>
      </c>
      <c r="AC37" s="1" t="s">
        <v>139</v>
      </c>
      <c r="AD37" s="1" t="s">
        <v>137</v>
      </c>
      <c r="AE37" s="1" t="s">
        <v>140</v>
      </c>
      <c r="AF37" s="1" t="s">
        <v>141</v>
      </c>
      <c r="AG37" s="1" t="s">
        <v>142</v>
      </c>
      <c r="AH37" s="1" t="s">
        <v>143</v>
      </c>
      <c r="AI37" s="1" t="s">
        <v>144</v>
      </c>
      <c r="AJ37" s="1" t="s">
        <v>145</v>
      </c>
      <c r="AK37" s="1" t="s">
        <v>138</v>
      </c>
      <c r="AL37" s="1" t="s">
        <v>146</v>
      </c>
      <c r="AM37" s="1" t="s">
        <v>147</v>
      </c>
      <c r="AN37" s="1" t="s">
        <v>148</v>
      </c>
      <c r="AO37" s="1" t="s">
        <v>149</v>
      </c>
      <c r="AP37" s="1" t="s">
        <v>150</v>
      </c>
      <c r="AQ37" s="1" t="s">
        <v>146</v>
      </c>
      <c r="AR37" s="1" t="s">
        <v>151</v>
      </c>
      <c r="AS37" s="1" t="s">
        <v>152</v>
      </c>
      <c r="AT37" s="1" t="s">
        <v>138</v>
      </c>
      <c r="AU37" s="1" t="s">
        <v>153</v>
      </c>
      <c r="AV37" s="1" t="s">
        <v>146</v>
      </c>
      <c r="AW37" s="1" t="s">
        <v>146</v>
      </c>
      <c r="AX37" s="1" t="s">
        <v>154</v>
      </c>
      <c r="AY37" s="1" t="s">
        <v>155</v>
      </c>
      <c r="AZ37" s="1" t="s">
        <v>156</v>
      </c>
      <c r="BA37" s="1" t="s">
        <v>154</v>
      </c>
      <c r="BB37" s="1" t="s">
        <v>155</v>
      </c>
      <c r="BC37" s="1" t="s">
        <v>143</v>
      </c>
      <c r="BD37" s="1" t="s">
        <v>146</v>
      </c>
      <c r="BE37" s="1" t="s">
        <v>157</v>
      </c>
      <c r="BF37" s="1" t="s">
        <v>138</v>
      </c>
      <c r="BG37" s="1" t="s">
        <v>158</v>
      </c>
      <c r="BH37" s="1" t="s">
        <v>159</v>
      </c>
      <c r="BI37" s="1" t="s">
        <v>160</v>
      </c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 t="s">
        <v>161</v>
      </c>
    </row>
    <row r="38" spans="1:129" x14ac:dyDescent="0.2">
      <c r="A38" s="1" t="s">
        <v>233</v>
      </c>
      <c r="B38" s="1" t="s">
        <v>234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 t="s">
        <v>205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 t="s">
        <v>136</v>
      </c>
      <c r="Y38" s="1" t="s">
        <v>188</v>
      </c>
      <c r="Z38" s="1" t="s">
        <v>137</v>
      </c>
      <c r="AA38" s="1" t="s">
        <v>138</v>
      </c>
      <c r="AB38" s="1" t="s">
        <v>188</v>
      </c>
      <c r="AC38" s="1" t="s">
        <v>139</v>
      </c>
      <c r="AD38" s="1" t="s">
        <v>137</v>
      </c>
      <c r="AE38" s="1" t="s">
        <v>140</v>
      </c>
      <c r="AF38" s="1" t="s">
        <v>206</v>
      </c>
      <c r="AG38" s="1" t="s">
        <v>142</v>
      </c>
      <c r="AH38" s="1" t="s">
        <v>143</v>
      </c>
      <c r="AI38" s="1" t="s">
        <v>144</v>
      </c>
      <c r="AJ38" s="1" t="s">
        <v>145</v>
      </c>
      <c r="AK38" s="1" t="s">
        <v>138</v>
      </c>
      <c r="AL38" s="1" t="s">
        <v>158</v>
      </c>
      <c r="AM38" s="1" t="s">
        <v>147</v>
      </c>
      <c r="AN38" s="1" t="s">
        <v>148</v>
      </c>
      <c r="AO38" s="1" t="s">
        <v>149</v>
      </c>
      <c r="AP38" s="1" t="s">
        <v>150</v>
      </c>
      <c r="AQ38" s="1" t="s">
        <v>146</v>
      </c>
      <c r="AR38" s="1" t="s">
        <v>151</v>
      </c>
      <c r="AS38" s="1" t="s">
        <v>152</v>
      </c>
      <c r="AT38" s="1" t="s">
        <v>207</v>
      </c>
      <c r="AU38" s="1" t="s">
        <v>153</v>
      </c>
      <c r="AV38" s="1" t="s">
        <v>146</v>
      </c>
      <c r="AW38" s="1" t="s">
        <v>146</v>
      </c>
      <c r="AX38" s="1" t="s">
        <v>154</v>
      </c>
      <c r="AY38" s="1" t="s">
        <v>155</v>
      </c>
      <c r="AZ38" s="1" t="s">
        <v>156</v>
      </c>
      <c r="BA38" s="1" t="s">
        <v>154</v>
      </c>
      <c r="BB38" s="1" t="s">
        <v>155</v>
      </c>
      <c r="BC38" s="1" t="s">
        <v>143</v>
      </c>
      <c r="BD38" s="1" t="s">
        <v>146</v>
      </c>
      <c r="BE38" s="1" t="s">
        <v>157</v>
      </c>
      <c r="BF38" s="1" t="s">
        <v>207</v>
      </c>
      <c r="BG38" s="1" t="s">
        <v>158</v>
      </c>
      <c r="BH38" s="1" t="s">
        <v>159</v>
      </c>
      <c r="BI38" s="1" t="s">
        <v>160</v>
      </c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 t="s">
        <v>161</v>
      </c>
    </row>
    <row r="39" spans="1:129" x14ac:dyDescent="0.2">
      <c r="A39" s="1" t="s">
        <v>235</v>
      </c>
      <c r="B39" s="1" t="s">
        <v>236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 t="s">
        <v>135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 t="s">
        <v>136</v>
      </c>
      <c r="Y39" s="1" t="s">
        <v>137</v>
      </c>
      <c r="Z39" s="1" t="s">
        <v>137</v>
      </c>
      <c r="AA39" s="1" t="s">
        <v>138</v>
      </c>
      <c r="AB39" s="1" t="s">
        <v>137</v>
      </c>
      <c r="AC39" s="1" t="s">
        <v>139</v>
      </c>
      <c r="AD39" s="1" t="s">
        <v>137</v>
      </c>
      <c r="AE39" s="1" t="s">
        <v>140</v>
      </c>
      <c r="AF39" s="1" t="s">
        <v>141</v>
      </c>
      <c r="AG39" s="1" t="s">
        <v>142</v>
      </c>
      <c r="AH39" s="1" t="s">
        <v>143</v>
      </c>
      <c r="AI39" s="1" t="s">
        <v>144</v>
      </c>
      <c r="AJ39" s="1" t="s">
        <v>145</v>
      </c>
      <c r="AK39" s="1" t="s">
        <v>138</v>
      </c>
      <c r="AL39" s="1" t="s">
        <v>146</v>
      </c>
      <c r="AM39" s="1" t="s">
        <v>147</v>
      </c>
      <c r="AN39" s="1" t="s">
        <v>148</v>
      </c>
      <c r="AO39" s="1" t="s">
        <v>149</v>
      </c>
      <c r="AP39" s="1" t="s">
        <v>150</v>
      </c>
      <c r="AQ39" s="1" t="s">
        <v>146</v>
      </c>
      <c r="AR39" s="1" t="s">
        <v>151</v>
      </c>
      <c r="AS39" s="1" t="s">
        <v>152</v>
      </c>
      <c r="AT39" s="1" t="s">
        <v>138</v>
      </c>
      <c r="AU39" s="1" t="s">
        <v>153</v>
      </c>
      <c r="AV39" s="1" t="s">
        <v>146</v>
      </c>
      <c r="AW39" s="1" t="s">
        <v>146</v>
      </c>
      <c r="AX39" s="1" t="s">
        <v>154</v>
      </c>
      <c r="AY39" s="1" t="s">
        <v>155</v>
      </c>
      <c r="AZ39" s="1" t="s">
        <v>156</v>
      </c>
      <c r="BA39" s="1" t="s">
        <v>154</v>
      </c>
      <c r="BB39" s="1" t="s">
        <v>155</v>
      </c>
      <c r="BC39" s="1" t="s">
        <v>143</v>
      </c>
      <c r="BD39" s="1" t="s">
        <v>146</v>
      </c>
      <c r="BE39" s="1" t="s">
        <v>157</v>
      </c>
      <c r="BF39" s="1" t="s">
        <v>138</v>
      </c>
      <c r="BG39" s="1" t="s">
        <v>158</v>
      </c>
      <c r="BH39" s="1" t="s">
        <v>159</v>
      </c>
      <c r="BI39" s="1" t="s">
        <v>160</v>
      </c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 t="s">
        <v>161</v>
      </c>
    </row>
    <row r="40" spans="1:129" x14ac:dyDescent="0.2">
      <c r="A40" s="1" t="s">
        <v>237</v>
      </c>
      <c r="B40" s="1" t="s">
        <v>238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 t="s">
        <v>135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 t="s">
        <v>136</v>
      </c>
      <c r="Y40" s="1" t="s">
        <v>137</v>
      </c>
      <c r="Z40" s="1" t="s">
        <v>137</v>
      </c>
      <c r="AA40" s="1" t="s">
        <v>138</v>
      </c>
      <c r="AB40" s="1" t="s">
        <v>137</v>
      </c>
      <c r="AC40" s="1" t="s">
        <v>139</v>
      </c>
      <c r="AD40" s="1" t="s">
        <v>137</v>
      </c>
      <c r="AE40" s="1" t="s">
        <v>140</v>
      </c>
      <c r="AF40" s="1" t="s">
        <v>141</v>
      </c>
      <c r="AG40" s="1" t="s">
        <v>142</v>
      </c>
      <c r="AH40" s="1" t="s">
        <v>143</v>
      </c>
      <c r="AI40" s="1" t="s">
        <v>144</v>
      </c>
      <c r="AJ40" s="1" t="s">
        <v>145</v>
      </c>
      <c r="AK40" s="1" t="s">
        <v>138</v>
      </c>
      <c r="AL40" s="1" t="s">
        <v>146</v>
      </c>
      <c r="AM40" s="1" t="s">
        <v>147</v>
      </c>
      <c r="AN40" s="1" t="s">
        <v>148</v>
      </c>
      <c r="AO40" s="1" t="s">
        <v>149</v>
      </c>
      <c r="AP40" s="1" t="s">
        <v>150</v>
      </c>
      <c r="AQ40" s="1" t="s">
        <v>146</v>
      </c>
      <c r="AR40" s="1" t="s">
        <v>151</v>
      </c>
      <c r="AS40" s="1" t="s">
        <v>152</v>
      </c>
      <c r="AT40" s="1" t="s">
        <v>138</v>
      </c>
      <c r="AU40" s="1" t="s">
        <v>153</v>
      </c>
      <c r="AV40" s="1" t="s">
        <v>146</v>
      </c>
      <c r="AW40" s="1" t="s">
        <v>146</v>
      </c>
      <c r="AX40" s="1" t="s">
        <v>154</v>
      </c>
      <c r="AY40" s="1" t="s">
        <v>155</v>
      </c>
      <c r="AZ40" s="1" t="s">
        <v>156</v>
      </c>
      <c r="BA40" s="1" t="s">
        <v>154</v>
      </c>
      <c r="BB40" s="1" t="s">
        <v>155</v>
      </c>
      <c r="BC40" s="1" t="s">
        <v>143</v>
      </c>
      <c r="BD40" s="1" t="s">
        <v>146</v>
      </c>
      <c r="BE40" s="1" t="s">
        <v>157</v>
      </c>
      <c r="BF40" s="1" t="s">
        <v>138</v>
      </c>
      <c r="BG40" s="1" t="s">
        <v>158</v>
      </c>
      <c r="BH40" s="1" t="s">
        <v>159</v>
      </c>
      <c r="BI40" s="1" t="s">
        <v>160</v>
      </c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 t="s">
        <v>161</v>
      </c>
    </row>
    <row r="41" spans="1:129" x14ac:dyDescent="0.2">
      <c r="A41" s="1" t="s">
        <v>239</v>
      </c>
      <c r="B41" s="1" t="s">
        <v>240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 t="s">
        <v>164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 t="s">
        <v>136</v>
      </c>
      <c r="Y41" s="1" t="s">
        <v>137</v>
      </c>
      <c r="Z41" s="1" t="s">
        <v>188</v>
      </c>
      <c r="AA41" s="1" t="s">
        <v>138</v>
      </c>
      <c r="AB41" s="1" t="s">
        <v>188</v>
      </c>
      <c r="AC41" s="1" t="s">
        <v>139</v>
      </c>
      <c r="AD41" s="1" t="s">
        <v>137</v>
      </c>
      <c r="AE41" s="1" t="s">
        <v>140</v>
      </c>
      <c r="AF41" s="1" t="s">
        <v>141</v>
      </c>
      <c r="AG41" s="1" t="s">
        <v>142</v>
      </c>
      <c r="AH41" s="1" t="s">
        <v>143</v>
      </c>
      <c r="AI41" s="1" t="s">
        <v>144</v>
      </c>
      <c r="AJ41" s="1" t="s">
        <v>145</v>
      </c>
      <c r="AK41" s="1" t="s">
        <v>138</v>
      </c>
      <c r="AL41" s="1" t="s">
        <v>146</v>
      </c>
      <c r="AM41" s="1" t="s">
        <v>147</v>
      </c>
      <c r="AN41" s="1" t="s">
        <v>148</v>
      </c>
      <c r="AO41" s="1" t="s">
        <v>149</v>
      </c>
      <c r="AP41" s="1" t="s">
        <v>150</v>
      </c>
      <c r="AQ41" s="1" t="s">
        <v>146</v>
      </c>
      <c r="AR41" s="1" t="s">
        <v>151</v>
      </c>
      <c r="AS41" s="1" t="s">
        <v>152</v>
      </c>
      <c r="AT41" s="1" t="s">
        <v>138</v>
      </c>
      <c r="AU41" s="1" t="s">
        <v>153</v>
      </c>
      <c r="AV41" s="1" t="s">
        <v>146</v>
      </c>
      <c r="AW41" s="1" t="s">
        <v>146</v>
      </c>
      <c r="AX41" s="1" t="s">
        <v>154</v>
      </c>
      <c r="AY41" s="1" t="s">
        <v>155</v>
      </c>
      <c r="AZ41" s="1" t="s">
        <v>156</v>
      </c>
      <c r="BA41" s="1" t="s">
        <v>154</v>
      </c>
      <c r="BB41" s="1" t="s">
        <v>155</v>
      </c>
      <c r="BC41" s="1" t="s">
        <v>143</v>
      </c>
      <c r="BD41" s="1" t="s">
        <v>146</v>
      </c>
      <c r="BE41" s="1" t="s">
        <v>157</v>
      </c>
      <c r="BF41" s="1" t="s">
        <v>138</v>
      </c>
      <c r="BG41" s="1" t="s">
        <v>158</v>
      </c>
      <c r="BH41" s="1" t="s">
        <v>159</v>
      </c>
      <c r="BI41" s="1" t="s">
        <v>160</v>
      </c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 t="s">
        <v>161</v>
      </c>
    </row>
    <row r="42" spans="1:129" x14ac:dyDescent="0.2">
      <c r="A42" s="1" t="s">
        <v>147</v>
      </c>
      <c r="B42" s="1" t="s">
        <v>241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 t="s">
        <v>164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 t="s">
        <v>136</v>
      </c>
      <c r="Y42" s="1" t="s">
        <v>137</v>
      </c>
      <c r="Z42" s="1" t="s">
        <v>137</v>
      </c>
      <c r="AA42" s="1" t="s">
        <v>138</v>
      </c>
      <c r="AB42" s="1" t="s">
        <v>137</v>
      </c>
      <c r="AC42" s="1" t="s">
        <v>139</v>
      </c>
      <c r="AD42" s="1" t="s">
        <v>137</v>
      </c>
      <c r="AE42" s="1" t="s">
        <v>140</v>
      </c>
      <c r="AF42" s="1" t="s">
        <v>141</v>
      </c>
      <c r="AG42" s="1" t="s">
        <v>142</v>
      </c>
      <c r="AH42" s="1" t="s">
        <v>143</v>
      </c>
      <c r="AI42" s="1" t="s">
        <v>144</v>
      </c>
      <c r="AJ42" s="1" t="s">
        <v>145</v>
      </c>
      <c r="AK42" s="1" t="s">
        <v>138</v>
      </c>
      <c r="AL42" s="1" t="s">
        <v>146</v>
      </c>
      <c r="AM42" s="1" t="s">
        <v>147</v>
      </c>
      <c r="AN42" s="1" t="s">
        <v>148</v>
      </c>
      <c r="AO42" s="1" t="s">
        <v>149</v>
      </c>
      <c r="AP42" s="1" t="s">
        <v>150</v>
      </c>
      <c r="AQ42" s="1" t="s">
        <v>146</v>
      </c>
      <c r="AR42" s="1" t="s">
        <v>151</v>
      </c>
      <c r="AS42" s="1" t="s">
        <v>152</v>
      </c>
      <c r="AT42" s="1" t="s">
        <v>138</v>
      </c>
      <c r="AU42" s="1" t="s">
        <v>153</v>
      </c>
      <c r="AV42" s="1" t="s">
        <v>146</v>
      </c>
      <c r="AW42" s="1" t="s">
        <v>146</v>
      </c>
      <c r="AX42" s="1" t="s">
        <v>154</v>
      </c>
      <c r="AY42" s="1" t="s">
        <v>155</v>
      </c>
      <c r="AZ42" s="1" t="s">
        <v>156</v>
      </c>
      <c r="BA42" s="1" t="s">
        <v>154</v>
      </c>
      <c r="BB42" s="1" t="s">
        <v>155</v>
      </c>
      <c r="BC42" s="1" t="s">
        <v>143</v>
      </c>
      <c r="BD42" s="1" t="s">
        <v>146</v>
      </c>
      <c r="BE42" s="1" t="s">
        <v>157</v>
      </c>
      <c r="BF42" s="1" t="s">
        <v>138</v>
      </c>
      <c r="BG42" s="1" t="s">
        <v>158</v>
      </c>
      <c r="BH42" s="1" t="s">
        <v>159</v>
      </c>
      <c r="BI42" s="1" t="s">
        <v>160</v>
      </c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 t="s">
        <v>161</v>
      </c>
    </row>
    <row r="43" spans="1:129" x14ac:dyDescent="0.2">
      <c r="A43" s="1" t="s">
        <v>242</v>
      </c>
      <c r="B43" s="1" t="s">
        <v>243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 t="s">
        <v>135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 t="s">
        <v>136</v>
      </c>
      <c r="Y43" s="1" t="s">
        <v>137</v>
      </c>
      <c r="Z43" s="1" t="s">
        <v>137</v>
      </c>
      <c r="AA43" s="1" t="s">
        <v>138</v>
      </c>
      <c r="AB43" s="1" t="s">
        <v>137</v>
      </c>
      <c r="AC43" s="1" t="s">
        <v>139</v>
      </c>
      <c r="AD43" s="1" t="s">
        <v>137</v>
      </c>
      <c r="AE43" s="1" t="s">
        <v>140</v>
      </c>
      <c r="AF43" s="1" t="s">
        <v>141</v>
      </c>
      <c r="AG43" s="1" t="s">
        <v>142</v>
      </c>
      <c r="AH43" s="1" t="s">
        <v>143</v>
      </c>
      <c r="AI43" s="1" t="s">
        <v>144</v>
      </c>
      <c r="AJ43" s="1" t="s">
        <v>145</v>
      </c>
      <c r="AK43" s="1" t="s">
        <v>138</v>
      </c>
      <c r="AL43" s="1" t="s">
        <v>146</v>
      </c>
      <c r="AM43" s="1" t="s">
        <v>147</v>
      </c>
      <c r="AN43" s="1" t="s">
        <v>148</v>
      </c>
      <c r="AO43" s="1" t="s">
        <v>149</v>
      </c>
      <c r="AP43" s="1" t="s">
        <v>150</v>
      </c>
      <c r="AQ43" s="1" t="s">
        <v>146</v>
      </c>
      <c r="AR43" s="1" t="s">
        <v>151</v>
      </c>
      <c r="AS43" s="1" t="s">
        <v>152</v>
      </c>
      <c r="AT43" s="1" t="s">
        <v>138</v>
      </c>
      <c r="AU43" s="1" t="s">
        <v>153</v>
      </c>
      <c r="AV43" s="1" t="s">
        <v>146</v>
      </c>
      <c r="AW43" s="1" t="s">
        <v>146</v>
      </c>
      <c r="AX43" s="1" t="s">
        <v>154</v>
      </c>
      <c r="AY43" s="1" t="s">
        <v>155</v>
      </c>
      <c r="AZ43" s="1" t="s">
        <v>156</v>
      </c>
      <c r="BA43" s="1" t="s">
        <v>154</v>
      </c>
      <c r="BB43" s="1" t="s">
        <v>155</v>
      </c>
      <c r="BC43" s="1" t="s">
        <v>143</v>
      </c>
      <c r="BD43" s="1" t="s">
        <v>146</v>
      </c>
      <c r="BE43" s="1" t="s">
        <v>157</v>
      </c>
      <c r="BF43" s="1" t="s">
        <v>138</v>
      </c>
      <c r="BG43" s="1" t="s">
        <v>158</v>
      </c>
      <c r="BH43" s="1" t="s">
        <v>159</v>
      </c>
      <c r="BI43" s="1" t="s">
        <v>160</v>
      </c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 t="s">
        <v>161</v>
      </c>
    </row>
    <row r="44" spans="1:129" x14ac:dyDescent="0.2">
      <c r="A44" s="1" t="s">
        <v>244</v>
      </c>
      <c r="B44" s="1" t="s">
        <v>245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 t="s">
        <v>135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 t="s">
        <v>136</v>
      </c>
      <c r="Y44" s="1" t="s">
        <v>137</v>
      </c>
      <c r="Z44" s="1" t="s">
        <v>137</v>
      </c>
      <c r="AA44" s="1" t="s">
        <v>138</v>
      </c>
      <c r="AB44" s="1" t="s">
        <v>137</v>
      </c>
      <c r="AC44" s="1" t="s">
        <v>139</v>
      </c>
      <c r="AD44" s="1" t="s">
        <v>137</v>
      </c>
      <c r="AE44" s="1" t="s">
        <v>140</v>
      </c>
      <c r="AF44" s="1" t="s">
        <v>141</v>
      </c>
      <c r="AG44" s="1" t="s">
        <v>142</v>
      </c>
      <c r="AH44" s="1" t="s">
        <v>143</v>
      </c>
      <c r="AI44" s="1" t="s">
        <v>144</v>
      </c>
      <c r="AJ44" s="1" t="s">
        <v>145</v>
      </c>
      <c r="AK44" s="1" t="s">
        <v>138</v>
      </c>
      <c r="AL44" s="1" t="s">
        <v>146</v>
      </c>
      <c r="AM44" s="1" t="s">
        <v>147</v>
      </c>
      <c r="AN44" s="1" t="s">
        <v>148</v>
      </c>
      <c r="AO44" s="1" t="s">
        <v>149</v>
      </c>
      <c r="AP44" s="1" t="s">
        <v>150</v>
      </c>
      <c r="AQ44" s="1" t="s">
        <v>146</v>
      </c>
      <c r="AR44" s="1" t="s">
        <v>151</v>
      </c>
      <c r="AS44" s="1" t="s">
        <v>152</v>
      </c>
      <c r="AT44" s="1" t="s">
        <v>138</v>
      </c>
      <c r="AU44" s="1" t="s">
        <v>153</v>
      </c>
      <c r="AV44" s="1" t="s">
        <v>146</v>
      </c>
      <c r="AW44" s="1" t="s">
        <v>146</v>
      </c>
      <c r="AX44" s="1" t="s">
        <v>154</v>
      </c>
      <c r="AY44" s="1" t="s">
        <v>155</v>
      </c>
      <c r="AZ44" s="1" t="s">
        <v>156</v>
      </c>
      <c r="BA44" s="1" t="s">
        <v>154</v>
      </c>
      <c r="BB44" s="1" t="s">
        <v>155</v>
      </c>
      <c r="BC44" s="1" t="s">
        <v>143</v>
      </c>
      <c r="BD44" s="1" t="s">
        <v>146</v>
      </c>
      <c r="BE44" s="1" t="s">
        <v>157</v>
      </c>
      <c r="BF44" s="1" t="s">
        <v>138</v>
      </c>
      <c r="BG44" s="1" t="s">
        <v>158</v>
      </c>
      <c r="BH44" s="1" t="s">
        <v>159</v>
      </c>
      <c r="BI44" s="1" t="s">
        <v>160</v>
      </c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 t="s">
        <v>161</v>
      </c>
    </row>
    <row r="45" spans="1:129" x14ac:dyDescent="0.2">
      <c r="A45" s="1" t="s">
        <v>196</v>
      </c>
      <c r="B45" s="1" t="s">
        <v>246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 t="s">
        <v>135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 t="s">
        <v>136</v>
      </c>
      <c r="Y45" s="1" t="s">
        <v>137</v>
      </c>
      <c r="Z45" s="1" t="s">
        <v>137</v>
      </c>
      <c r="AA45" s="1" t="s">
        <v>138</v>
      </c>
      <c r="AB45" s="1" t="s">
        <v>137</v>
      </c>
      <c r="AC45" s="1" t="s">
        <v>139</v>
      </c>
      <c r="AD45" s="1" t="s">
        <v>137</v>
      </c>
      <c r="AE45" s="1" t="s">
        <v>140</v>
      </c>
      <c r="AF45" s="1" t="s">
        <v>141</v>
      </c>
      <c r="AG45" s="1" t="s">
        <v>142</v>
      </c>
      <c r="AH45" s="1" t="s">
        <v>143</v>
      </c>
      <c r="AI45" s="1" t="s">
        <v>144</v>
      </c>
      <c r="AJ45" s="1" t="s">
        <v>145</v>
      </c>
      <c r="AK45" s="1" t="s">
        <v>138</v>
      </c>
      <c r="AL45" s="1" t="s">
        <v>146</v>
      </c>
      <c r="AM45" s="1" t="s">
        <v>147</v>
      </c>
      <c r="AN45" s="1" t="s">
        <v>148</v>
      </c>
      <c r="AO45" s="1" t="s">
        <v>149</v>
      </c>
      <c r="AP45" s="1" t="s">
        <v>150</v>
      </c>
      <c r="AQ45" s="1" t="s">
        <v>146</v>
      </c>
      <c r="AR45" s="1" t="s">
        <v>151</v>
      </c>
      <c r="AS45" s="1" t="s">
        <v>152</v>
      </c>
      <c r="AT45" s="1" t="s">
        <v>138</v>
      </c>
      <c r="AU45" s="1" t="s">
        <v>153</v>
      </c>
      <c r="AV45" s="1" t="s">
        <v>146</v>
      </c>
      <c r="AW45" s="1" t="s">
        <v>146</v>
      </c>
      <c r="AX45" s="1" t="s">
        <v>154</v>
      </c>
      <c r="AY45" s="1" t="s">
        <v>155</v>
      </c>
      <c r="AZ45" s="1" t="s">
        <v>156</v>
      </c>
      <c r="BA45" s="1" t="s">
        <v>154</v>
      </c>
      <c r="BB45" s="1" t="s">
        <v>155</v>
      </c>
      <c r="BC45" s="1" t="s">
        <v>143</v>
      </c>
      <c r="BD45" s="1" t="s">
        <v>146</v>
      </c>
      <c r="BE45" s="1" t="s">
        <v>157</v>
      </c>
      <c r="BF45" s="1" t="s">
        <v>138</v>
      </c>
      <c r="BG45" s="1" t="s">
        <v>158</v>
      </c>
      <c r="BH45" s="1" t="s">
        <v>159</v>
      </c>
      <c r="BI45" s="1" t="s">
        <v>160</v>
      </c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 t="s">
        <v>161</v>
      </c>
    </row>
    <row r="46" spans="1:129" x14ac:dyDescent="0.2">
      <c r="A46" s="1" t="s">
        <v>247</v>
      </c>
      <c r="B46" s="1" t="s">
        <v>248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 t="s">
        <v>164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 t="s">
        <v>136</v>
      </c>
      <c r="Y46" s="1" t="s">
        <v>137</v>
      </c>
      <c r="Z46" s="1" t="s">
        <v>137</v>
      </c>
      <c r="AA46" s="1" t="s">
        <v>138</v>
      </c>
      <c r="AB46" s="1" t="s">
        <v>137</v>
      </c>
      <c r="AC46" s="1" t="s">
        <v>139</v>
      </c>
      <c r="AD46" s="1" t="s">
        <v>137</v>
      </c>
      <c r="AE46" s="1" t="s">
        <v>140</v>
      </c>
      <c r="AF46" s="1" t="s">
        <v>141</v>
      </c>
      <c r="AG46" s="1" t="s">
        <v>142</v>
      </c>
      <c r="AH46" s="1" t="s">
        <v>143</v>
      </c>
      <c r="AI46" s="1" t="s">
        <v>144</v>
      </c>
      <c r="AJ46" s="1" t="s">
        <v>145</v>
      </c>
      <c r="AK46" s="1" t="s">
        <v>138</v>
      </c>
      <c r="AL46" s="1" t="s">
        <v>146</v>
      </c>
      <c r="AM46" s="1" t="s">
        <v>147</v>
      </c>
      <c r="AN46" s="1" t="s">
        <v>148</v>
      </c>
      <c r="AO46" s="1" t="s">
        <v>149</v>
      </c>
      <c r="AP46" s="1" t="s">
        <v>150</v>
      </c>
      <c r="AQ46" s="1" t="s">
        <v>146</v>
      </c>
      <c r="AR46" s="1" t="s">
        <v>151</v>
      </c>
      <c r="AS46" s="1" t="s">
        <v>152</v>
      </c>
      <c r="AT46" s="1" t="s">
        <v>138</v>
      </c>
      <c r="AU46" s="1" t="s">
        <v>153</v>
      </c>
      <c r="AV46" s="1" t="s">
        <v>146</v>
      </c>
      <c r="AW46" s="1" t="s">
        <v>146</v>
      </c>
      <c r="AX46" s="1" t="s">
        <v>154</v>
      </c>
      <c r="AY46" s="1" t="s">
        <v>155</v>
      </c>
      <c r="AZ46" s="1" t="s">
        <v>156</v>
      </c>
      <c r="BA46" s="1" t="s">
        <v>154</v>
      </c>
      <c r="BB46" s="1" t="s">
        <v>155</v>
      </c>
      <c r="BC46" s="1" t="s">
        <v>143</v>
      </c>
      <c r="BD46" s="1" t="s">
        <v>146</v>
      </c>
      <c r="BE46" s="1" t="s">
        <v>157</v>
      </c>
      <c r="BF46" s="1" t="s">
        <v>138</v>
      </c>
      <c r="BG46" s="1" t="s">
        <v>158</v>
      </c>
      <c r="BH46" s="1" t="s">
        <v>159</v>
      </c>
      <c r="BI46" s="1" t="s">
        <v>160</v>
      </c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 t="s">
        <v>161</v>
      </c>
    </row>
    <row r="47" spans="1:129" x14ac:dyDescent="0.2">
      <c r="A47" s="1" t="s">
        <v>249</v>
      </c>
      <c r="B47" s="1" t="s">
        <v>250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 t="s">
        <v>135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 t="s">
        <v>136</v>
      </c>
      <c r="Y47" s="1" t="s">
        <v>137</v>
      </c>
      <c r="Z47" s="1" t="s">
        <v>137</v>
      </c>
      <c r="AA47" s="1" t="s">
        <v>138</v>
      </c>
      <c r="AB47" s="1" t="s">
        <v>137</v>
      </c>
      <c r="AC47" s="1" t="s">
        <v>139</v>
      </c>
      <c r="AD47" s="1" t="s">
        <v>137</v>
      </c>
      <c r="AE47" s="1" t="s">
        <v>140</v>
      </c>
      <c r="AF47" s="1" t="s">
        <v>141</v>
      </c>
      <c r="AG47" s="1" t="s">
        <v>142</v>
      </c>
      <c r="AH47" s="1" t="s">
        <v>143</v>
      </c>
      <c r="AI47" s="1" t="s">
        <v>144</v>
      </c>
      <c r="AJ47" s="1" t="s">
        <v>145</v>
      </c>
      <c r="AK47" s="1" t="s">
        <v>138</v>
      </c>
      <c r="AL47" s="1" t="s">
        <v>146</v>
      </c>
      <c r="AM47" s="1" t="s">
        <v>147</v>
      </c>
      <c r="AN47" s="1" t="s">
        <v>148</v>
      </c>
      <c r="AO47" s="1" t="s">
        <v>149</v>
      </c>
      <c r="AP47" s="1" t="s">
        <v>150</v>
      </c>
      <c r="AQ47" s="1" t="s">
        <v>146</v>
      </c>
      <c r="AR47" s="1" t="s">
        <v>151</v>
      </c>
      <c r="AS47" s="1" t="s">
        <v>152</v>
      </c>
      <c r="AT47" s="1" t="s">
        <v>138</v>
      </c>
      <c r="AU47" s="1" t="s">
        <v>153</v>
      </c>
      <c r="AV47" s="1" t="s">
        <v>146</v>
      </c>
      <c r="AW47" s="1" t="s">
        <v>146</v>
      </c>
      <c r="AX47" s="1" t="s">
        <v>154</v>
      </c>
      <c r="AY47" s="1" t="s">
        <v>155</v>
      </c>
      <c r="AZ47" s="1" t="s">
        <v>156</v>
      </c>
      <c r="BA47" s="1" t="s">
        <v>154</v>
      </c>
      <c r="BB47" s="1" t="s">
        <v>155</v>
      </c>
      <c r="BC47" s="1" t="s">
        <v>143</v>
      </c>
      <c r="BD47" s="1" t="s">
        <v>146</v>
      </c>
      <c r="BE47" s="1" t="s">
        <v>157</v>
      </c>
      <c r="BF47" s="1" t="s">
        <v>138</v>
      </c>
      <c r="BG47" s="1" t="s">
        <v>158</v>
      </c>
      <c r="BH47" s="1" t="s">
        <v>159</v>
      </c>
      <c r="BI47" s="1" t="s">
        <v>160</v>
      </c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 t="s">
        <v>161</v>
      </c>
    </row>
    <row r="48" spans="1:129" x14ac:dyDescent="0.2">
      <c r="A48" s="1" t="s">
        <v>251</v>
      </c>
      <c r="B48" s="1" t="s">
        <v>252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 t="s">
        <v>135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 t="s">
        <v>136</v>
      </c>
      <c r="Y48" s="1" t="s">
        <v>137</v>
      </c>
      <c r="Z48" s="1" t="s">
        <v>137</v>
      </c>
      <c r="AA48" s="1" t="s">
        <v>138</v>
      </c>
      <c r="AB48" s="1" t="s">
        <v>137</v>
      </c>
      <c r="AC48" s="1" t="s">
        <v>139</v>
      </c>
      <c r="AD48" s="1" t="s">
        <v>137</v>
      </c>
      <c r="AE48" s="1" t="s">
        <v>140</v>
      </c>
      <c r="AF48" s="1" t="s">
        <v>141</v>
      </c>
      <c r="AG48" s="1" t="s">
        <v>142</v>
      </c>
      <c r="AH48" s="1" t="s">
        <v>143</v>
      </c>
      <c r="AI48" s="1" t="s">
        <v>144</v>
      </c>
      <c r="AJ48" s="1" t="s">
        <v>145</v>
      </c>
      <c r="AK48" s="1" t="s">
        <v>138</v>
      </c>
      <c r="AL48" s="1" t="s">
        <v>146</v>
      </c>
      <c r="AM48" s="1" t="s">
        <v>147</v>
      </c>
      <c r="AN48" s="1" t="s">
        <v>148</v>
      </c>
      <c r="AO48" s="1" t="s">
        <v>149</v>
      </c>
      <c r="AP48" s="1" t="s">
        <v>150</v>
      </c>
      <c r="AQ48" s="1" t="s">
        <v>146</v>
      </c>
      <c r="AR48" s="1" t="s">
        <v>151</v>
      </c>
      <c r="AS48" s="1" t="s">
        <v>152</v>
      </c>
      <c r="AT48" s="1" t="s">
        <v>138</v>
      </c>
      <c r="AU48" s="1" t="s">
        <v>153</v>
      </c>
      <c r="AV48" s="1" t="s">
        <v>146</v>
      </c>
      <c r="AW48" s="1" t="s">
        <v>146</v>
      </c>
      <c r="AX48" s="1" t="s">
        <v>154</v>
      </c>
      <c r="AY48" s="1" t="s">
        <v>155</v>
      </c>
      <c r="AZ48" s="1" t="s">
        <v>156</v>
      </c>
      <c r="BA48" s="1" t="s">
        <v>154</v>
      </c>
      <c r="BB48" s="1" t="s">
        <v>155</v>
      </c>
      <c r="BC48" s="1" t="s">
        <v>143</v>
      </c>
      <c r="BD48" s="1" t="s">
        <v>146</v>
      </c>
      <c r="BE48" s="1" t="s">
        <v>157</v>
      </c>
      <c r="BF48" s="1" t="s">
        <v>138</v>
      </c>
      <c r="BG48" s="1" t="s">
        <v>158</v>
      </c>
      <c r="BH48" s="1" t="s">
        <v>159</v>
      </c>
      <c r="BI48" s="1" t="s">
        <v>160</v>
      </c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 t="s">
        <v>161</v>
      </c>
    </row>
  </sheetData>
  <phoneticPr fontId="3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outlinePr summaryBelow="0" summaryRight="0"/>
  </sheetPr>
  <dimension ref="A1:DO48"/>
  <sheetViews>
    <sheetView workbookViewId="0">
      <pane xSplit="1" ySplit="1" topLeftCell="B2" activePane="bottomRight" state="frozen"/>
      <selection activeCell="C24" sqref="C24"/>
      <selection pane="topRight" activeCell="C24" sqref="C24"/>
      <selection pane="bottomLeft" activeCell="C24" sqref="C24"/>
      <selection pane="bottomRight" activeCell="C24" sqref="C24"/>
    </sheetView>
  </sheetViews>
  <sheetFormatPr defaultRowHeight="12.75" x14ac:dyDescent="0.2"/>
  <cols>
    <col min="1" max="1" width="6.7109375" bestFit="1" customWidth="1"/>
    <col min="2" max="2" width="16.28515625" bestFit="1" customWidth="1"/>
    <col min="3" max="3" width="19.42578125" bestFit="1" customWidth="1"/>
    <col min="4" max="4" width="5.42578125" bestFit="1" customWidth="1"/>
    <col min="5" max="5" width="5" bestFit="1" customWidth="1"/>
    <col min="6" max="6" width="9.5703125" bestFit="1" customWidth="1"/>
    <col min="7" max="7" width="10.7109375" bestFit="1" customWidth="1"/>
    <col min="8" max="8" width="15.42578125" bestFit="1" customWidth="1"/>
    <col min="9" max="10" width="9.42578125" bestFit="1" customWidth="1"/>
    <col min="11" max="11" width="7.28515625" bestFit="1" customWidth="1"/>
    <col min="12" max="12" width="10.42578125" bestFit="1" customWidth="1"/>
    <col min="13" max="13" width="8.42578125" bestFit="1" customWidth="1"/>
    <col min="14" max="14" width="5.5703125" bestFit="1" customWidth="1"/>
    <col min="15" max="15" width="4.85546875" bestFit="1" customWidth="1"/>
    <col min="17" max="17" width="10.28515625" bestFit="1" customWidth="1"/>
    <col min="18" max="18" width="11.28515625" bestFit="1" customWidth="1"/>
    <col min="19" max="19" width="10.28515625" bestFit="1" customWidth="1"/>
    <col min="20" max="20" width="17.140625" bestFit="1" customWidth="1"/>
    <col min="21" max="21" width="6.85546875" bestFit="1" customWidth="1"/>
    <col min="22" max="22" width="11.28515625" bestFit="1" customWidth="1"/>
    <col min="23" max="23" width="4.140625" bestFit="1" customWidth="1"/>
    <col min="24" max="24" width="4.85546875" bestFit="1" customWidth="1"/>
    <col min="25" max="25" width="20.42578125" bestFit="1" customWidth="1"/>
    <col min="26" max="26" width="13.7109375" bestFit="1" customWidth="1"/>
    <col min="27" max="27" width="18.7109375" bestFit="1" customWidth="1"/>
    <col min="28" max="28" width="20" bestFit="1" customWidth="1"/>
    <col min="29" max="29" width="20.140625" bestFit="1" customWidth="1"/>
    <col min="30" max="30" width="20.28515625" bestFit="1" customWidth="1"/>
    <col min="31" max="31" width="14.85546875" bestFit="1" customWidth="1"/>
    <col min="32" max="32" width="11.5703125" bestFit="1" customWidth="1"/>
    <col min="33" max="33" width="16.28515625" bestFit="1" customWidth="1"/>
    <col min="34" max="34" width="15.85546875" bestFit="1" customWidth="1"/>
    <col min="35" max="35" width="19.7109375" bestFit="1" customWidth="1"/>
    <col min="36" max="36" width="6.28515625" bestFit="1" customWidth="1"/>
    <col min="37" max="37" width="12.5703125" bestFit="1" customWidth="1"/>
    <col min="38" max="38" width="5.7109375" bestFit="1" customWidth="1"/>
    <col min="39" max="39" width="6.42578125" bestFit="1" customWidth="1"/>
    <col min="40" max="40" width="14.42578125" bestFit="1" customWidth="1"/>
    <col min="41" max="41" width="12" bestFit="1" customWidth="1"/>
    <col min="42" max="42" width="11.28515625" bestFit="1" customWidth="1"/>
    <col min="43" max="43" width="12.7109375" bestFit="1" customWidth="1"/>
    <col min="44" max="44" width="13.140625" bestFit="1" customWidth="1"/>
    <col min="45" max="45" width="16.140625" bestFit="1" customWidth="1"/>
    <col min="46" max="46" width="16.5703125" bestFit="1" customWidth="1"/>
    <col min="47" max="47" width="12.7109375" bestFit="1" customWidth="1"/>
    <col min="48" max="48" width="6.28515625" bestFit="1" customWidth="1"/>
    <col min="49" max="49" width="12.5703125" bestFit="1" customWidth="1"/>
    <col min="50" max="50" width="5.7109375" bestFit="1" customWidth="1"/>
    <col min="51" max="51" width="6.42578125" bestFit="1" customWidth="1"/>
    <col min="52" max="52" width="14.42578125" bestFit="1" customWidth="1"/>
    <col min="53" max="53" width="12" bestFit="1" customWidth="1"/>
    <col min="54" max="54" width="11.28515625" bestFit="1" customWidth="1"/>
    <col min="55" max="55" width="12.7109375" bestFit="1" customWidth="1"/>
    <col min="56" max="56" width="13.140625" bestFit="1" customWidth="1"/>
    <col min="57" max="57" width="16.140625" bestFit="1" customWidth="1"/>
    <col min="58" max="58" width="16.5703125" bestFit="1" customWidth="1"/>
    <col min="59" max="59" width="12.7109375" bestFit="1" customWidth="1"/>
    <col min="60" max="60" width="6.28515625" bestFit="1" customWidth="1"/>
    <col min="61" max="61" width="12.5703125" bestFit="1" customWidth="1"/>
    <col min="62" max="62" width="5.7109375" bestFit="1" customWidth="1"/>
    <col min="63" max="63" width="6.42578125" bestFit="1" customWidth="1"/>
    <col min="64" max="64" width="14.42578125" bestFit="1" customWidth="1"/>
    <col min="65" max="65" width="12" bestFit="1" customWidth="1"/>
    <col min="66" max="66" width="11.28515625" bestFit="1" customWidth="1"/>
    <col min="67" max="67" width="12.7109375" bestFit="1" customWidth="1"/>
    <col min="68" max="68" width="13.140625" bestFit="1" customWidth="1"/>
    <col min="69" max="69" width="16.140625" bestFit="1" customWidth="1"/>
    <col min="70" max="70" width="16.5703125" bestFit="1" customWidth="1"/>
    <col min="71" max="71" width="12.7109375" bestFit="1" customWidth="1"/>
    <col min="72" max="72" width="6.28515625" bestFit="1" customWidth="1"/>
    <col min="73" max="73" width="12.5703125" bestFit="1" customWidth="1"/>
    <col min="74" max="74" width="5.7109375" bestFit="1" customWidth="1"/>
    <col min="75" max="75" width="6.42578125" bestFit="1" customWidth="1"/>
    <col min="76" max="76" width="14.42578125" bestFit="1" customWidth="1"/>
    <col min="77" max="77" width="12" bestFit="1" customWidth="1"/>
    <col min="78" max="78" width="11.28515625" bestFit="1" customWidth="1"/>
    <col min="79" max="79" width="12.7109375" bestFit="1" customWidth="1"/>
    <col min="80" max="80" width="13.140625" bestFit="1" customWidth="1"/>
    <col min="81" max="81" width="16.140625" bestFit="1" customWidth="1"/>
    <col min="82" max="82" width="16.5703125" bestFit="1" customWidth="1"/>
    <col min="83" max="83" width="12.7109375" bestFit="1" customWidth="1"/>
    <col min="84" max="84" width="6.28515625" bestFit="1" customWidth="1"/>
    <col min="85" max="85" width="12.5703125" bestFit="1" customWidth="1"/>
    <col min="86" max="86" width="5.7109375" bestFit="1" customWidth="1"/>
    <col min="87" max="87" width="6.42578125" bestFit="1" customWidth="1"/>
    <col min="88" max="88" width="14.42578125" bestFit="1" customWidth="1"/>
    <col min="89" max="89" width="12" bestFit="1" customWidth="1"/>
    <col min="90" max="90" width="11.28515625" bestFit="1" customWidth="1"/>
    <col min="91" max="91" width="12.7109375" bestFit="1" customWidth="1"/>
    <col min="92" max="92" width="13.140625" bestFit="1" customWidth="1"/>
    <col min="93" max="93" width="16.140625" bestFit="1" customWidth="1"/>
    <col min="94" max="94" width="16.5703125" bestFit="1" customWidth="1"/>
    <col min="95" max="95" width="12.7109375" bestFit="1" customWidth="1"/>
    <col min="96" max="96" width="5.7109375" bestFit="1" customWidth="1"/>
    <col min="97" max="97" width="10.5703125" bestFit="1" customWidth="1"/>
    <col min="98" max="98" width="13.140625" bestFit="1" customWidth="1"/>
    <col min="99" max="99" width="16.42578125" bestFit="1" customWidth="1"/>
    <col min="100" max="100" width="10.7109375" bestFit="1" customWidth="1"/>
    <col min="101" max="101" width="11" bestFit="1" customWidth="1"/>
    <col min="102" max="102" width="14.28515625" bestFit="1" customWidth="1"/>
    <col min="103" max="103" width="6.42578125" bestFit="1" customWidth="1"/>
    <col min="104" max="104" width="11.140625" bestFit="1" customWidth="1"/>
    <col min="105" max="105" width="15.5703125" bestFit="1" customWidth="1"/>
    <col min="106" max="106" width="16.140625" bestFit="1" customWidth="1"/>
    <col min="107" max="107" width="17.5703125" bestFit="1" customWidth="1"/>
    <col min="108" max="109" width="18" bestFit="1" customWidth="1"/>
    <col min="110" max="110" width="22" bestFit="1" customWidth="1"/>
    <col min="111" max="111" width="12.7109375" bestFit="1" customWidth="1"/>
    <col min="112" max="112" width="18.7109375" bestFit="1" customWidth="1"/>
    <col min="113" max="113" width="14.85546875" bestFit="1" customWidth="1"/>
    <col min="114" max="114" width="15.7109375" bestFit="1" customWidth="1"/>
    <col min="115" max="115" width="17.85546875" bestFit="1" customWidth="1"/>
    <col min="116" max="116" width="13.85546875" bestFit="1" customWidth="1"/>
    <col min="117" max="117" width="20.5703125" bestFit="1" customWidth="1"/>
    <col min="118" max="118" width="19.5703125" bestFit="1" customWidth="1"/>
    <col min="119" max="119" width="13.140625" bestFit="1" customWidth="1"/>
  </cols>
  <sheetData>
    <row r="1" spans="1:119" x14ac:dyDescent="0.2">
      <c r="A1" s="1" t="s">
        <v>0</v>
      </c>
      <c r="B1" s="1" t="s">
        <v>1</v>
      </c>
      <c r="C1" s="1" t="s">
        <v>2</v>
      </c>
      <c r="D1" s="1" t="s">
        <v>35</v>
      </c>
      <c r="E1" s="1" t="s">
        <v>253</v>
      </c>
      <c r="F1" s="1" t="s">
        <v>254</v>
      </c>
      <c r="G1" s="1" t="s">
        <v>10</v>
      </c>
      <c r="H1" s="1" t="s">
        <v>255</v>
      </c>
      <c r="I1" s="1" t="s">
        <v>256</v>
      </c>
      <c r="J1" s="1" t="s">
        <v>257</v>
      </c>
      <c r="K1" s="1" t="s">
        <v>258</v>
      </c>
      <c r="L1" s="1" t="s">
        <v>11</v>
      </c>
      <c r="M1" s="1" t="s">
        <v>5</v>
      </c>
      <c r="N1" s="1" t="s">
        <v>13</v>
      </c>
      <c r="O1" s="1" t="s">
        <v>259</v>
      </c>
      <c r="P1" s="1" t="s">
        <v>260</v>
      </c>
      <c r="Q1" s="1" t="s">
        <v>261</v>
      </c>
      <c r="R1" s="1" t="s">
        <v>262</v>
      </c>
      <c r="S1" s="1" t="s">
        <v>263</v>
      </c>
      <c r="T1" s="1" t="s">
        <v>264</v>
      </c>
      <c r="U1" s="1" t="s">
        <v>265</v>
      </c>
      <c r="V1" s="1" t="s">
        <v>23</v>
      </c>
      <c r="W1" s="1" t="s">
        <v>266</v>
      </c>
      <c r="X1" s="1" t="s">
        <v>40</v>
      </c>
      <c r="Y1" s="1" t="s">
        <v>267</v>
      </c>
      <c r="Z1" s="1" t="s">
        <v>268</v>
      </c>
      <c r="AA1" s="1" t="s">
        <v>269</v>
      </c>
      <c r="AB1" s="1" t="s">
        <v>270</v>
      </c>
      <c r="AC1" s="1" t="s">
        <v>271</v>
      </c>
      <c r="AD1" s="1" t="s">
        <v>272</v>
      </c>
      <c r="AE1" s="1" t="s">
        <v>273</v>
      </c>
      <c r="AF1" s="1" t="s">
        <v>274</v>
      </c>
      <c r="AG1" s="1" t="s">
        <v>275</v>
      </c>
      <c r="AH1" s="1" t="s">
        <v>276</v>
      </c>
      <c r="AI1" s="1" t="s">
        <v>277</v>
      </c>
      <c r="AJ1" s="2" t="s">
        <v>278</v>
      </c>
      <c r="AK1" s="2" t="s">
        <v>279</v>
      </c>
      <c r="AL1" s="2" t="s">
        <v>280</v>
      </c>
      <c r="AM1" s="2" t="s">
        <v>119</v>
      </c>
      <c r="AN1" s="2" t="s">
        <v>281</v>
      </c>
      <c r="AO1" s="2" t="s">
        <v>282</v>
      </c>
      <c r="AP1" s="2" t="s">
        <v>283</v>
      </c>
      <c r="AQ1" s="2" t="s">
        <v>284</v>
      </c>
      <c r="AR1" s="2" t="s">
        <v>285</v>
      </c>
      <c r="AS1" s="2" t="s">
        <v>286</v>
      </c>
      <c r="AT1" s="2" t="s">
        <v>287</v>
      </c>
      <c r="AU1" s="2" t="s">
        <v>127</v>
      </c>
      <c r="AV1" s="3" t="s">
        <v>278</v>
      </c>
      <c r="AW1" s="3" t="s">
        <v>279</v>
      </c>
      <c r="AX1" s="3" t="s">
        <v>280</v>
      </c>
      <c r="AY1" s="3" t="s">
        <v>119</v>
      </c>
      <c r="AZ1" s="3" t="s">
        <v>281</v>
      </c>
      <c r="BA1" s="3" t="s">
        <v>282</v>
      </c>
      <c r="BB1" s="3" t="s">
        <v>283</v>
      </c>
      <c r="BC1" s="3" t="s">
        <v>284</v>
      </c>
      <c r="BD1" s="3" t="s">
        <v>285</v>
      </c>
      <c r="BE1" s="3" t="s">
        <v>286</v>
      </c>
      <c r="BF1" s="3" t="s">
        <v>287</v>
      </c>
      <c r="BG1" s="3" t="s">
        <v>127</v>
      </c>
      <c r="BH1" s="1" t="s">
        <v>278</v>
      </c>
      <c r="BI1" s="1" t="s">
        <v>279</v>
      </c>
      <c r="BJ1" s="1" t="s">
        <v>280</v>
      </c>
      <c r="BK1" s="1" t="s">
        <v>119</v>
      </c>
      <c r="BL1" s="1" t="s">
        <v>281</v>
      </c>
      <c r="BM1" s="1" t="s">
        <v>282</v>
      </c>
      <c r="BN1" s="1" t="s">
        <v>283</v>
      </c>
      <c r="BO1" s="1" t="s">
        <v>284</v>
      </c>
      <c r="BP1" s="1" t="s">
        <v>285</v>
      </c>
      <c r="BQ1" s="1" t="s">
        <v>286</v>
      </c>
      <c r="BR1" s="1" t="s">
        <v>287</v>
      </c>
      <c r="BS1" s="1" t="s">
        <v>127</v>
      </c>
      <c r="BT1" s="1" t="s">
        <v>278</v>
      </c>
      <c r="BU1" s="1" t="s">
        <v>279</v>
      </c>
      <c r="BV1" s="1" t="s">
        <v>280</v>
      </c>
      <c r="BW1" s="1" t="s">
        <v>119</v>
      </c>
      <c r="BX1" s="1" t="s">
        <v>281</v>
      </c>
      <c r="BY1" s="1" t="s">
        <v>282</v>
      </c>
      <c r="BZ1" s="1" t="s">
        <v>283</v>
      </c>
      <c r="CA1" s="1" t="s">
        <v>284</v>
      </c>
      <c r="CB1" s="1" t="s">
        <v>285</v>
      </c>
      <c r="CC1" s="1" t="s">
        <v>286</v>
      </c>
      <c r="CD1" s="1" t="s">
        <v>287</v>
      </c>
      <c r="CE1" s="1" t="s">
        <v>127</v>
      </c>
      <c r="CF1" s="1" t="s">
        <v>278</v>
      </c>
      <c r="CG1" s="1" t="s">
        <v>279</v>
      </c>
      <c r="CH1" s="1" t="s">
        <v>280</v>
      </c>
      <c r="CI1" s="1" t="s">
        <v>119</v>
      </c>
      <c r="CJ1" s="1" t="s">
        <v>281</v>
      </c>
      <c r="CK1" s="1" t="s">
        <v>282</v>
      </c>
      <c r="CL1" s="1" t="s">
        <v>283</v>
      </c>
      <c r="CM1" s="1" t="s">
        <v>284</v>
      </c>
      <c r="CN1" s="1" t="s">
        <v>285</v>
      </c>
      <c r="CO1" s="1" t="s">
        <v>286</v>
      </c>
      <c r="CP1" s="1" t="s">
        <v>287</v>
      </c>
      <c r="CQ1" s="1" t="s">
        <v>127</v>
      </c>
      <c r="CR1" s="1" t="s">
        <v>112</v>
      </c>
      <c r="CS1" s="1" t="s">
        <v>113</v>
      </c>
      <c r="CT1" s="1" t="s">
        <v>288</v>
      </c>
      <c r="CU1" s="1" t="s">
        <v>289</v>
      </c>
      <c r="CV1" s="1" t="s">
        <v>116</v>
      </c>
      <c r="CW1" s="1" t="s">
        <v>290</v>
      </c>
      <c r="CX1" s="1" t="s">
        <v>291</v>
      </c>
      <c r="CY1" s="1" t="s">
        <v>119</v>
      </c>
      <c r="CZ1" s="1" t="s">
        <v>292</v>
      </c>
      <c r="DA1" s="1" t="s">
        <v>293</v>
      </c>
      <c r="DB1" s="1" t="s">
        <v>294</v>
      </c>
      <c r="DC1" s="1" t="s">
        <v>295</v>
      </c>
      <c r="DD1" s="1" t="s">
        <v>296</v>
      </c>
      <c r="DE1" s="1" t="s">
        <v>297</v>
      </c>
      <c r="DF1" s="1" t="s">
        <v>298</v>
      </c>
      <c r="DG1" s="1" t="s">
        <v>127</v>
      </c>
      <c r="DH1" s="1" t="s">
        <v>299</v>
      </c>
      <c r="DI1" s="1" t="s">
        <v>300</v>
      </c>
      <c r="DJ1" s="1" t="s">
        <v>301</v>
      </c>
      <c r="DK1" s="1" t="s">
        <v>302</v>
      </c>
      <c r="DL1" s="1" t="s">
        <v>303</v>
      </c>
      <c r="DM1" s="1" t="s">
        <v>304</v>
      </c>
      <c r="DN1" s="1" t="s">
        <v>305</v>
      </c>
      <c r="DO1" s="1" t="s">
        <v>128</v>
      </c>
    </row>
    <row r="2" spans="1:119" x14ac:dyDescent="0.2">
      <c r="A2" s="1" t="s">
        <v>133</v>
      </c>
      <c r="B2" s="1" t="s">
        <v>134</v>
      </c>
      <c r="C2" s="1"/>
      <c r="D2" s="1"/>
      <c r="E2" s="1"/>
      <c r="F2" s="1"/>
      <c r="G2" s="1"/>
      <c r="H2" s="1" t="s">
        <v>135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 t="s">
        <v>306</v>
      </c>
      <c r="W2" s="1" t="s">
        <v>155</v>
      </c>
      <c r="X2" s="1" t="s">
        <v>307</v>
      </c>
      <c r="Y2" s="1" t="s">
        <v>308</v>
      </c>
      <c r="Z2" s="1" t="s">
        <v>308</v>
      </c>
      <c r="AA2" s="1" t="s">
        <v>188</v>
      </c>
      <c r="AB2" s="1" t="s">
        <v>141</v>
      </c>
      <c r="AC2" s="1" t="s">
        <v>141</v>
      </c>
      <c r="AD2" s="1" t="s">
        <v>137</v>
      </c>
      <c r="AE2" s="1" t="s">
        <v>309</v>
      </c>
      <c r="AF2" s="1" t="s">
        <v>206</v>
      </c>
      <c r="AG2" s="1" t="s">
        <v>139</v>
      </c>
      <c r="AH2" s="1" t="s">
        <v>310</v>
      </c>
      <c r="AI2" s="1" t="s">
        <v>146</v>
      </c>
      <c r="AJ2" s="1" t="s">
        <v>311</v>
      </c>
      <c r="AK2" s="1" t="s">
        <v>158</v>
      </c>
      <c r="AL2" s="1" t="s">
        <v>159</v>
      </c>
      <c r="AM2" s="1" t="s">
        <v>200</v>
      </c>
      <c r="AN2" s="1" t="s">
        <v>146</v>
      </c>
      <c r="AO2" s="1" t="s">
        <v>146</v>
      </c>
      <c r="AP2" s="1" t="s">
        <v>309</v>
      </c>
      <c r="AQ2" s="1" t="s">
        <v>312</v>
      </c>
      <c r="AR2" s="1" t="s">
        <v>159</v>
      </c>
      <c r="AS2" s="1" t="s">
        <v>313</v>
      </c>
      <c r="AT2" s="1" t="s">
        <v>314</v>
      </c>
      <c r="AU2" s="1" t="s">
        <v>315</v>
      </c>
      <c r="AV2" s="1" t="s">
        <v>195</v>
      </c>
      <c r="AW2" s="1" t="s">
        <v>158</v>
      </c>
      <c r="AX2" s="1" t="s">
        <v>157</v>
      </c>
      <c r="AY2" s="1" t="s">
        <v>206</v>
      </c>
      <c r="AZ2" s="1" t="s">
        <v>146</v>
      </c>
      <c r="BA2" s="1" t="s">
        <v>146</v>
      </c>
      <c r="BB2" s="1" t="s">
        <v>309</v>
      </c>
      <c r="BC2" s="1" t="s">
        <v>146</v>
      </c>
      <c r="BD2" s="1" t="s">
        <v>146</v>
      </c>
      <c r="BE2" s="1" t="s">
        <v>159</v>
      </c>
      <c r="BF2" s="1" t="s">
        <v>137</v>
      </c>
      <c r="BG2" s="1" t="s">
        <v>316</v>
      </c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 t="s">
        <v>161</v>
      </c>
    </row>
    <row r="3" spans="1:119" x14ac:dyDescent="0.2">
      <c r="A3" s="1" t="s">
        <v>162</v>
      </c>
      <c r="B3" s="1" t="s">
        <v>163</v>
      </c>
      <c r="C3" s="1"/>
      <c r="D3" s="1"/>
      <c r="E3" s="1"/>
      <c r="F3" s="1"/>
      <c r="G3" s="1"/>
      <c r="H3" s="1" t="s">
        <v>164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 t="s">
        <v>306</v>
      </c>
      <c r="W3" s="1" t="s">
        <v>155</v>
      </c>
      <c r="X3" s="1" t="s">
        <v>307</v>
      </c>
      <c r="Y3" s="1" t="s">
        <v>308</v>
      </c>
      <c r="Z3" s="1" t="s">
        <v>308</v>
      </c>
      <c r="AA3" s="1" t="s">
        <v>188</v>
      </c>
      <c r="AB3" s="1" t="s">
        <v>141</v>
      </c>
      <c r="AC3" s="1" t="s">
        <v>141</v>
      </c>
      <c r="AD3" s="1" t="s">
        <v>137</v>
      </c>
      <c r="AE3" s="1" t="s">
        <v>309</v>
      </c>
      <c r="AF3" s="1" t="s">
        <v>206</v>
      </c>
      <c r="AG3" s="1" t="s">
        <v>139</v>
      </c>
      <c r="AH3" s="1" t="s">
        <v>146</v>
      </c>
      <c r="AI3" s="1" t="s">
        <v>146</v>
      </c>
      <c r="AJ3" s="1" t="s">
        <v>311</v>
      </c>
      <c r="AK3" s="1" t="s">
        <v>158</v>
      </c>
      <c r="AL3" s="1" t="s">
        <v>159</v>
      </c>
      <c r="AM3" s="1" t="s">
        <v>200</v>
      </c>
      <c r="AN3" s="1" t="s">
        <v>146</v>
      </c>
      <c r="AO3" s="1" t="s">
        <v>146</v>
      </c>
      <c r="AP3" s="1" t="s">
        <v>309</v>
      </c>
      <c r="AQ3" s="1" t="s">
        <v>312</v>
      </c>
      <c r="AR3" s="1" t="s">
        <v>159</v>
      </c>
      <c r="AS3" s="1" t="s">
        <v>317</v>
      </c>
      <c r="AT3" s="1" t="s">
        <v>314</v>
      </c>
      <c r="AU3" s="1" t="s">
        <v>315</v>
      </c>
      <c r="AV3" s="1" t="s">
        <v>195</v>
      </c>
      <c r="AW3" s="1" t="s">
        <v>158</v>
      </c>
      <c r="AX3" s="1" t="s">
        <v>157</v>
      </c>
      <c r="AY3" s="1" t="s">
        <v>206</v>
      </c>
      <c r="AZ3" s="1" t="s">
        <v>146</v>
      </c>
      <c r="BA3" s="1" t="s">
        <v>146</v>
      </c>
      <c r="BB3" s="1" t="s">
        <v>309</v>
      </c>
      <c r="BC3" s="1" t="s">
        <v>146</v>
      </c>
      <c r="BD3" s="1" t="s">
        <v>146</v>
      </c>
      <c r="BE3" s="1" t="s">
        <v>159</v>
      </c>
      <c r="BF3" s="1" t="s">
        <v>137</v>
      </c>
      <c r="BG3" s="1" t="s">
        <v>316</v>
      </c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 t="s">
        <v>161</v>
      </c>
    </row>
    <row r="4" spans="1:119" x14ac:dyDescent="0.2">
      <c r="A4" s="1" t="s">
        <v>152</v>
      </c>
      <c r="B4" s="1" t="s">
        <v>165</v>
      </c>
      <c r="C4" s="1"/>
      <c r="D4" s="1"/>
      <c r="E4" s="1"/>
      <c r="F4" s="1"/>
      <c r="G4" s="1"/>
      <c r="H4" s="1" t="s">
        <v>135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 t="s">
        <v>306</v>
      </c>
      <c r="W4" s="1" t="s">
        <v>155</v>
      </c>
      <c r="X4" s="1" t="s">
        <v>307</v>
      </c>
      <c r="Y4" s="1" t="s">
        <v>308</v>
      </c>
      <c r="Z4" s="1" t="s">
        <v>308</v>
      </c>
      <c r="AA4" s="1" t="s">
        <v>188</v>
      </c>
      <c r="AB4" s="1" t="s">
        <v>141</v>
      </c>
      <c r="AC4" s="1" t="s">
        <v>141</v>
      </c>
      <c r="AD4" s="1" t="s">
        <v>137</v>
      </c>
      <c r="AE4" s="1" t="s">
        <v>309</v>
      </c>
      <c r="AF4" s="1" t="s">
        <v>206</v>
      </c>
      <c r="AG4" s="1" t="s">
        <v>139</v>
      </c>
      <c r="AH4" s="1" t="s">
        <v>310</v>
      </c>
      <c r="AI4" s="1" t="s">
        <v>146</v>
      </c>
      <c r="AJ4" s="1" t="s">
        <v>311</v>
      </c>
      <c r="AK4" s="1" t="s">
        <v>158</v>
      </c>
      <c r="AL4" s="1" t="s">
        <v>159</v>
      </c>
      <c r="AM4" s="1" t="s">
        <v>200</v>
      </c>
      <c r="AN4" s="1" t="s">
        <v>146</v>
      </c>
      <c r="AO4" s="1" t="s">
        <v>146</v>
      </c>
      <c r="AP4" s="1" t="s">
        <v>309</v>
      </c>
      <c r="AQ4" s="1" t="s">
        <v>312</v>
      </c>
      <c r="AR4" s="1" t="s">
        <v>159</v>
      </c>
      <c r="AS4" s="1" t="s">
        <v>313</v>
      </c>
      <c r="AT4" s="1" t="s">
        <v>314</v>
      </c>
      <c r="AU4" s="1" t="s">
        <v>315</v>
      </c>
      <c r="AV4" s="1" t="s">
        <v>195</v>
      </c>
      <c r="AW4" s="1" t="s">
        <v>158</v>
      </c>
      <c r="AX4" s="1" t="s">
        <v>157</v>
      </c>
      <c r="AY4" s="1" t="s">
        <v>206</v>
      </c>
      <c r="AZ4" s="1" t="s">
        <v>146</v>
      </c>
      <c r="BA4" s="1" t="s">
        <v>146</v>
      </c>
      <c r="BB4" s="1" t="s">
        <v>309</v>
      </c>
      <c r="BC4" s="1" t="s">
        <v>146</v>
      </c>
      <c r="BD4" s="1" t="s">
        <v>146</v>
      </c>
      <c r="BE4" s="1" t="s">
        <v>159</v>
      </c>
      <c r="BF4" s="1" t="s">
        <v>137</v>
      </c>
      <c r="BG4" s="1" t="s">
        <v>316</v>
      </c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 t="s">
        <v>161</v>
      </c>
    </row>
    <row r="5" spans="1:119" x14ac:dyDescent="0.2">
      <c r="A5" s="1" t="s">
        <v>143</v>
      </c>
      <c r="B5" s="1" t="s">
        <v>166</v>
      </c>
      <c r="C5" s="1"/>
      <c r="D5" s="1"/>
      <c r="E5" s="1"/>
      <c r="F5" s="1"/>
      <c r="G5" s="1"/>
      <c r="H5" s="1" t="s">
        <v>135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 t="s">
        <v>306</v>
      </c>
      <c r="W5" s="1" t="s">
        <v>155</v>
      </c>
      <c r="X5" s="1" t="s">
        <v>307</v>
      </c>
      <c r="Y5" s="1" t="s">
        <v>308</v>
      </c>
      <c r="Z5" s="1" t="s">
        <v>308</v>
      </c>
      <c r="AA5" s="1" t="s">
        <v>188</v>
      </c>
      <c r="AB5" s="1" t="s">
        <v>141</v>
      </c>
      <c r="AC5" s="1" t="s">
        <v>141</v>
      </c>
      <c r="AD5" s="1" t="s">
        <v>137</v>
      </c>
      <c r="AE5" s="1" t="s">
        <v>309</v>
      </c>
      <c r="AF5" s="1" t="s">
        <v>206</v>
      </c>
      <c r="AG5" s="1" t="s">
        <v>139</v>
      </c>
      <c r="AH5" s="1" t="s">
        <v>310</v>
      </c>
      <c r="AI5" s="1" t="s">
        <v>146</v>
      </c>
      <c r="AJ5" s="1" t="s">
        <v>311</v>
      </c>
      <c r="AK5" s="1" t="s">
        <v>158</v>
      </c>
      <c r="AL5" s="1" t="s">
        <v>159</v>
      </c>
      <c r="AM5" s="1" t="s">
        <v>200</v>
      </c>
      <c r="AN5" s="1" t="s">
        <v>146</v>
      </c>
      <c r="AO5" s="1" t="s">
        <v>146</v>
      </c>
      <c r="AP5" s="1" t="s">
        <v>309</v>
      </c>
      <c r="AQ5" s="1" t="s">
        <v>312</v>
      </c>
      <c r="AR5" s="1" t="s">
        <v>159</v>
      </c>
      <c r="AS5" s="1" t="s">
        <v>313</v>
      </c>
      <c r="AT5" s="1" t="s">
        <v>314</v>
      </c>
      <c r="AU5" s="1" t="s">
        <v>315</v>
      </c>
      <c r="AV5" s="1" t="s">
        <v>195</v>
      </c>
      <c r="AW5" s="1" t="s">
        <v>158</v>
      </c>
      <c r="AX5" s="1" t="s">
        <v>157</v>
      </c>
      <c r="AY5" s="1" t="s">
        <v>206</v>
      </c>
      <c r="AZ5" s="1" t="s">
        <v>146</v>
      </c>
      <c r="BA5" s="1" t="s">
        <v>146</v>
      </c>
      <c r="BB5" s="1" t="s">
        <v>309</v>
      </c>
      <c r="BC5" s="1" t="s">
        <v>146</v>
      </c>
      <c r="BD5" s="1" t="s">
        <v>146</v>
      </c>
      <c r="BE5" s="1" t="s">
        <v>159</v>
      </c>
      <c r="BF5" s="1" t="s">
        <v>137</v>
      </c>
      <c r="BG5" s="1" t="s">
        <v>316</v>
      </c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 t="s">
        <v>161</v>
      </c>
    </row>
    <row r="6" spans="1:119" x14ac:dyDescent="0.2">
      <c r="A6" s="1" t="s">
        <v>167</v>
      </c>
      <c r="B6" s="1" t="s">
        <v>168</v>
      </c>
      <c r="C6" s="1"/>
      <c r="D6" s="1"/>
      <c r="E6" s="1"/>
      <c r="F6" s="1"/>
      <c r="G6" s="1"/>
      <c r="H6" s="1" t="s">
        <v>164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 t="s">
        <v>306</v>
      </c>
      <c r="W6" s="1" t="s">
        <v>155</v>
      </c>
      <c r="X6" s="1" t="s">
        <v>307</v>
      </c>
      <c r="Y6" s="1" t="s">
        <v>308</v>
      </c>
      <c r="Z6" s="1" t="s">
        <v>308</v>
      </c>
      <c r="AA6" s="1" t="s">
        <v>188</v>
      </c>
      <c r="AB6" s="1" t="s">
        <v>141</v>
      </c>
      <c r="AC6" s="1" t="s">
        <v>141</v>
      </c>
      <c r="AD6" s="1" t="s">
        <v>137</v>
      </c>
      <c r="AE6" s="1" t="s">
        <v>309</v>
      </c>
      <c r="AF6" s="1" t="s">
        <v>206</v>
      </c>
      <c r="AG6" s="1" t="s">
        <v>139</v>
      </c>
      <c r="AH6" s="1" t="s">
        <v>146</v>
      </c>
      <c r="AI6" s="1" t="s">
        <v>146</v>
      </c>
      <c r="AJ6" s="1" t="s">
        <v>311</v>
      </c>
      <c r="AK6" s="1" t="s">
        <v>158</v>
      </c>
      <c r="AL6" s="1" t="s">
        <v>159</v>
      </c>
      <c r="AM6" s="1" t="s">
        <v>200</v>
      </c>
      <c r="AN6" s="1" t="s">
        <v>146</v>
      </c>
      <c r="AO6" s="1" t="s">
        <v>146</v>
      </c>
      <c r="AP6" s="1" t="s">
        <v>309</v>
      </c>
      <c r="AQ6" s="1" t="s">
        <v>312</v>
      </c>
      <c r="AR6" s="1" t="s">
        <v>159</v>
      </c>
      <c r="AS6" s="1" t="s">
        <v>317</v>
      </c>
      <c r="AT6" s="1" t="s">
        <v>314</v>
      </c>
      <c r="AU6" s="1" t="s">
        <v>315</v>
      </c>
      <c r="AV6" s="1" t="s">
        <v>195</v>
      </c>
      <c r="AW6" s="1" t="s">
        <v>158</v>
      </c>
      <c r="AX6" s="1" t="s">
        <v>157</v>
      </c>
      <c r="AY6" s="1" t="s">
        <v>206</v>
      </c>
      <c r="AZ6" s="1" t="s">
        <v>146</v>
      </c>
      <c r="BA6" s="1" t="s">
        <v>146</v>
      </c>
      <c r="BB6" s="1" t="s">
        <v>309</v>
      </c>
      <c r="BC6" s="1" t="s">
        <v>146</v>
      </c>
      <c r="BD6" s="1" t="s">
        <v>146</v>
      </c>
      <c r="BE6" s="1" t="s">
        <v>159</v>
      </c>
      <c r="BF6" s="1" t="s">
        <v>137</v>
      </c>
      <c r="BG6" s="1" t="s">
        <v>316</v>
      </c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 t="s">
        <v>161</v>
      </c>
    </row>
    <row r="7" spans="1:119" x14ac:dyDescent="0.2">
      <c r="A7" s="1" t="s">
        <v>169</v>
      </c>
      <c r="B7" s="1" t="s">
        <v>170</v>
      </c>
      <c r="C7" s="1"/>
      <c r="D7" s="1"/>
      <c r="E7" s="1"/>
      <c r="F7" s="1"/>
      <c r="G7" s="1"/>
      <c r="H7" s="1" t="s">
        <v>164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 t="s">
        <v>306</v>
      </c>
      <c r="W7" s="1" t="s">
        <v>155</v>
      </c>
      <c r="X7" s="1" t="s">
        <v>307</v>
      </c>
      <c r="Y7" s="1" t="s">
        <v>308</v>
      </c>
      <c r="Z7" s="1" t="s">
        <v>308</v>
      </c>
      <c r="AA7" s="1" t="s">
        <v>188</v>
      </c>
      <c r="AB7" s="1" t="s">
        <v>141</v>
      </c>
      <c r="AC7" s="1" t="s">
        <v>141</v>
      </c>
      <c r="AD7" s="1" t="s">
        <v>137</v>
      </c>
      <c r="AE7" s="1" t="s">
        <v>309</v>
      </c>
      <c r="AF7" s="1" t="s">
        <v>206</v>
      </c>
      <c r="AG7" s="1" t="s">
        <v>139</v>
      </c>
      <c r="AH7" s="1" t="s">
        <v>146</v>
      </c>
      <c r="AI7" s="1" t="s">
        <v>146</v>
      </c>
      <c r="AJ7" s="1" t="s">
        <v>311</v>
      </c>
      <c r="AK7" s="1" t="s">
        <v>158</v>
      </c>
      <c r="AL7" s="1" t="s">
        <v>159</v>
      </c>
      <c r="AM7" s="1" t="s">
        <v>200</v>
      </c>
      <c r="AN7" s="1" t="s">
        <v>146</v>
      </c>
      <c r="AO7" s="1" t="s">
        <v>146</v>
      </c>
      <c r="AP7" s="1" t="s">
        <v>309</v>
      </c>
      <c r="AQ7" s="1" t="s">
        <v>312</v>
      </c>
      <c r="AR7" s="1" t="s">
        <v>159</v>
      </c>
      <c r="AS7" s="1" t="s">
        <v>317</v>
      </c>
      <c r="AT7" s="1" t="s">
        <v>314</v>
      </c>
      <c r="AU7" s="1" t="s">
        <v>315</v>
      </c>
      <c r="AV7" s="1" t="s">
        <v>195</v>
      </c>
      <c r="AW7" s="1" t="s">
        <v>158</v>
      </c>
      <c r="AX7" s="1" t="s">
        <v>157</v>
      </c>
      <c r="AY7" s="1" t="s">
        <v>206</v>
      </c>
      <c r="AZ7" s="1" t="s">
        <v>146</v>
      </c>
      <c r="BA7" s="1" t="s">
        <v>146</v>
      </c>
      <c r="BB7" s="1" t="s">
        <v>309</v>
      </c>
      <c r="BC7" s="1" t="s">
        <v>146</v>
      </c>
      <c r="BD7" s="1" t="s">
        <v>146</v>
      </c>
      <c r="BE7" s="1" t="s">
        <v>159</v>
      </c>
      <c r="BF7" s="1" t="s">
        <v>137</v>
      </c>
      <c r="BG7" s="1" t="s">
        <v>316</v>
      </c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 t="s">
        <v>161</v>
      </c>
    </row>
    <row r="8" spans="1:119" x14ac:dyDescent="0.2">
      <c r="A8" s="1" t="s">
        <v>151</v>
      </c>
      <c r="B8" s="1" t="s">
        <v>171</v>
      </c>
      <c r="C8" s="1"/>
      <c r="D8" s="1"/>
      <c r="E8" s="1"/>
      <c r="F8" s="1"/>
      <c r="G8" s="1"/>
      <c r="H8" s="1" t="s">
        <v>135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 t="s">
        <v>306</v>
      </c>
      <c r="W8" s="1" t="s">
        <v>155</v>
      </c>
      <c r="X8" s="1" t="s">
        <v>307</v>
      </c>
      <c r="Y8" s="1" t="s">
        <v>308</v>
      </c>
      <c r="Z8" s="1" t="s">
        <v>308</v>
      </c>
      <c r="AA8" s="1" t="s">
        <v>188</v>
      </c>
      <c r="AB8" s="1" t="s">
        <v>141</v>
      </c>
      <c r="AC8" s="1" t="s">
        <v>141</v>
      </c>
      <c r="AD8" s="1" t="s">
        <v>137</v>
      </c>
      <c r="AE8" s="1" t="s">
        <v>309</v>
      </c>
      <c r="AF8" s="1" t="s">
        <v>206</v>
      </c>
      <c r="AG8" s="1" t="s">
        <v>139</v>
      </c>
      <c r="AH8" s="1" t="s">
        <v>310</v>
      </c>
      <c r="AI8" s="1" t="s">
        <v>146</v>
      </c>
      <c r="AJ8" s="1" t="s">
        <v>311</v>
      </c>
      <c r="AK8" s="1" t="s">
        <v>158</v>
      </c>
      <c r="AL8" s="1" t="s">
        <v>159</v>
      </c>
      <c r="AM8" s="1" t="s">
        <v>200</v>
      </c>
      <c r="AN8" s="1" t="s">
        <v>146</v>
      </c>
      <c r="AO8" s="1" t="s">
        <v>146</v>
      </c>
      <c r="AP8" s="1" t="s">
        <v>309</v>
      </c>
      <c r="AQ8" s="1" t="s">
        <v>312</v>
      </c>
      <c r="AR8" s="1" t="s">
        <v>159</v>
      </c>
      <c r="AS8" s="1" t="s">
        <v>313</v>
      </c>
      <c r="AT8" s="1" t="s">
        <v>314</v>
      </c>
      <c r="AU8" s="1" t="s">
        <v>315</v>
      </c>
      <c r="AV8" s="1" t="s">
        <v>195</v>
      </c>
      <c r="AW8" s="1" t="s">
        <v>158</v>
      </c>
      <c r="AX8" s="1" t="s">
        <v>157</v>
      </c>
      <c r="AY8" s="1" t="s">
        <v>206</v>
      </c>
      <c r="AZ8" s="1" t="s">
        <v>146</v>
      </c>
      <c r="BA8" s="1" t="s">
        <v>146</v>
      </c>
      <c r="BB8" s="1" t="s">
        <v>309</v>
      </c>
      <c r="BC8" s="1" t="s">
        <v>146</v>
      </c>
      <c r="BD8" s="1" t="s">
        <v>146</v>
      </c>
      <c r="BE8" s="1" t="s">
        <v>159</v>
      </c>
      <c r="BF8" s="1" t="s">
        <v>137</v>
      </c>
      <c r="BG8" s="1" t="s">
        <v>316</v>
      </c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 t="s">
        <v>161</v>
      </c>
    </row>
    <row r="9" spans="1:119" x14ac:dyDescent="0.2">
      <c r="A9" s="1" t="s">
        <v>172</v>
      </c>
      <c r="B9" s="1" t="s">
        <v>173</v>
      </c>
      <c r="C9" s="1"/>
      <c r="D9" s="1"/>
      <c r="E9" s="1"/>
      <c r="F9" s="1"/>
      <c r="G9" s="1"/>
      <c r="H9" s="1" t="s">
        <v>135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 t="s">
        <v>306</v>
      </c>
      <c r="W9" s="1" t="s">
        <v>155</v>
      </c>
      <c r="X9" s="1" t="s">
        <v>307</v>
      </c>
      <c r="Y9" s="1" t="s">
        <v>308</v>
      </c>
      <c r="Z9" s="1" t="s">
        <v>308</v>
      </c>
      <c r="AA9" s="1" t="s">
        <v>188</v>
      </c>
      <c r="AB9" s="1" t="s">
        <v>141</v>
      </c>
      <c r="AC9" s="1" t="s">
        <v>141</v>
      </c>
      <c r="AD9" s="1" t="s">
        <v>137</v>
      </c>
      <c r="AE9" s="1" t="s">
        <v>309</v>
      </c>
      <c r="AF9" s="1" t="s">
        <v>206</v>
      </c>
      <c r="AG9" s="1" t="s">
        <v>139</v>
      </c>
      <c r="AH9" s="1" t="s">
        <v>310</v>
      </c>
      <c r="AI9" s="1" t="s">
        <v>146</v>
      </c>
      <c r="AJ9" s="1" t="s">
        <v>311</v>
      </c>
      <c r="AK9" s="1" t="s">
        <v>158</v>
      </c>
      <c r="AL9" s="1" t="s">
        <v>159</v>
      </c>
      <c r="AM9" s="1" t="s">
        <v>200</v>
      </c>
      <c r="AN9" s="1" t="s">
        <v>146</v>
      </c>
      <c r="AO9" s="1" t="s">
        <v>146</v>
      </c>
      <c r="AP9" s="1" t="s">
        <v>309</v>
      </c>
      <c r="AQ9" s="1" t="s">
        <v>312</v>
      </c>
      <c r="AR9" s="1" t="s">
        <v>159</v>
      </c>
      <c r="AS9" s="1" t="s">
        <v>313</v>
      </c>
      <c r="AT9" s="1" t="s">
        <v>314</v>
      </c>
      <c r="AU9" s="1" t="s">
        <v>315</v>
      </c>
      <c r="AV9" s="1" t="s">
        <v>195</v>
      </c>
      <c r="AW9" s="1" t="s">
        <v>158</v>
      </c>
      <c r="AX9" s="1" t="s">
        <v>157</v>
      </c>
      <c r="AY9" s="1" t="s">
        <v>206</v>
      </c>
      <c r="AZ9" s="1" t="s">
        <v>146</v>
      </c>
      <c r="BA9" s="1" t="s">
        <v>146</v>
      </c>
      <c r="BB9" s="1" t="s">
        <v>309</v>
      </c>
      <c r="BC9" s="1" t="s">
        <v>146</v>
      </c>
      <c r="BD9" s="1" t="s">
        <v>146</v>
      </c>
      <c r="BE9" s="1" t="s">
        <v>159</v>
      </c>
      <c r="BF9" s="1" t="s">
        <v>137</v>
      </c>
      <c r="BG9" s="1" t="s">
        <v>316</v>
      </c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 t="s">
        <v>161</v>
      </c>
    </row>
    <row r="10" spans="1:119" x14ac:dyDescent="0.2">
      <c r="A10" s="1" t="s">
        <v>174</v>
      </c>
      <c r="B10" s="1" t="s">
        <v>175</v>
      </c>
      <c r="C10" s="1"/>
      <c r="D10" s="1"/>
      <c r="E10" s="1"/>
      <c r="F10" s="1"/>
      <c r="G10" s="1"/>
      <c r="H10" s="1" t="s">
        <v>135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 t="s">
        <v>306</v>
      </c>
      <c r="W10" s="1" t="s">
        <v>155</v>
      </c>
      <c r="X10" s="1" t="s">
        <v>307</v>
      </c>
      <c r="Y10" s="1" t="s">
        <v>308</v>
      </c>
      <c r="Z10" s="1" t="s">
        <v>308</v>
      </c>
      <c r="AA10" s="1" t="s">
        <v>188</v>
      </c>
      <c r="AB10" s="1" t="s">
        <v>141</v>
      </c>
      <c r="AC10" s="1" t="s">
        <v>141</v>
      </c>
      <c r="AD10" s="1" t="s">
        <v>137</v>
      </c>
      <c r="AE10" s="1" t="s">
        <v>309</v>
      </c>
      <c r="AF10" s="1" t="s">
        <v>206</v>
      </c>
      <c r="AG10" s="1" t="s">
        <v>139</v>
      </c>
      <c r="AH10" s="1" t="s">
        <v>310</v>
      </c>
      <c r="AI10" s="1" t="s">
        <v>146</v>
      </c>
      <c r="AJ10" s="1" t="s">
        <v>311</v>
      </c>
      <c r="AK10" s="1" t="s">
        <v>158</v>
      </c>
      <c r="AL10" s="1" t="s">
        <v>159</v>
      </c>
      <c r="AM10" s="1" t="s">
        <v>200</v>
      </c>
      <c r="AN10" s="1" t="s">
        <v>146</v>
      </c>
      <c r="AO10" s="1" t="s">
        <v>146</v>
      </c>
      <c r="AP10" s="1" t="s">
        <v>309</v>
      </c>
      <c r="AQ10" s="1" t="s">
        <v>312</v>
      </c>
      <c r="AR10" s="1" t="s">
        <v>159</v>
      </c>
      <c r="AS10" s="1" t="s">
        <v>313</v>
      </c>
      <c r="AT10" s="1" t="s">
        <v>314</v>
      </c>
      <c r="AU10" s="1" t="s">
        <v>315</v>
      </c>
      <c r="AV10" s="1" t="s">
        <v>195</v>
      </c>
      <c r="AW10" s="1" t="s">
        <v>158</v>
      </c>
      <c r="AX10" s="1" t="s">
        <v>157</v>
      </c>
      <c r="AY10" s="1" t="s">
        <v>206</v>
      </c>
      <c r="AZ10" s="1" t="s">
        <v>146</v>
      </c>
      <c r="BA10" s="1" t="s">
        <v>146</v>
      </c>
      <c r="BB10" s="1" t="s">
        <v>309</v>
      </c>
      <c r="BC10" s="1" t="s">
        <v>146</v>
      </c>
      <c r="BD10" s="1" t="s">
        <v>146</v>
      </c>
      <c r="BE10" s="1" t="s">
        <v>159</v>
      </c>
      <c r="BF10" s="1" t="s">
        <v>137</v>
      </c>
      <c r="BG10" s="1" t="s">
        <v>316</v>
      </c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 t="s">
        <v>161</v>
      </c>
    </row>
    <row r="11" spans="1:119" x14ac:dyDescent="0.2">
      <c r="A11" s="1" t="s">
        <v>176</v>
      </c>
      <c r="B11" s="1" t="s">
        <v>177</v>
      </c>
      <c r="C11" s="1"/>
      <c r="D11" s="1"/>
      <c r="E11" s="1"/>
      <c r="F11" s="1"/>
      <c r="G11" s="1"/>
      <c r="H11" s="1" t="s">
        <v>135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 t="s">
        <v>306</v>
      </c>
      <c r="W11" s="1" t="s">
        <v>155</v>
      </c>
      <c r="X11" s="1" t="s">
        <v>307</v>
      </c>
      <c r="Y11" s="1" t="s">
        <v>308</v>
      </c>
      <c r="Z11" s="1" t="s">
        <v>308</v>
      </c>
      <c r="AA11" s="1" t="s">
        <v>188</v>
      </c>
      <c r="AB11" s="1" t="s">
        <v>141</v>
      </c>
      <c r="AC11" s="1" t="s">
        <v>141</v>
      </c>
      <c r="AD11" s="1" t="s">
        <v>137</v>
      </c>
      <c r="AE11" s="1" t="s">
        <v>309</v>
      </c>
      <c r="AF11" s="1" t="s">
        <v>206</v>
      </c>
      <c r="AG11" s="1" t="s">
        <v>139</v>
      </c>
      <c r="AH11" s="1" t="s">
        <v>310</v>
      </c>
      <c r="AI11" s="1" t="s">
        <v>146</v>
      </c>
      <c r="AJ11" s="1" t="s">
        <v>311</v>
      </c>
      <c r="AK11" s="1" t="s">
        <v>158</v>
      </c>
      <c r="AL11" s="1" t="s">
        <v>159</v>
      </c>
      <c r="AM11" s="1" t="s">
        <v>200</v>
      </c>
      <c r="AN11" s="1" t="s">
        <v>146</v>
      </c>
      <c r="AO11" s="1" t="s">
        <v>146</v>
      </c>
      <c r="AP11" s="1" t="s">
        <v>309</v>
      </c>
      <c r="AQ11" s="1" t="s">
        <v>312</v>
      </c>
      <c r="AR11" s="1" t="s">
        <v>159</v>
      </c>
      <c r="AS11" s="1" t="s">
        <v>313</v>
      </c>
      <c r="AT11" s="1" t="s">
        <v>314</v>
      </c>
      <c r="AU11" s="1" t="s">
        <v>315</v>
      </c>
      <c r="AV11" s="1" t="s">
        <v>195</v>
      </c>
      <c r="AW11" s="1" t="s">
        <v>158</v>
      </c>
      <c r="AX11" s="1" t="s">
        <v>157</v>
      </c>
      <c r="AY11" s="1" t="s">
        <v>206</v>
      </c>
      <c r="AZ11" s="1" t="s">
        <v>146</v>
      </c>
      <c r="BA11" s="1" t="s">
        <v>146</v>
      </c>
      <c r="BB11" s="1" t="s">
        <v>309</v>
      </c>
      <c r="BC11" s="1" t="s">
        <v>146</v>
      </c>
      <c r="BD11" s="1" t="s">
        <v>146</v>
      </c>
      <c r="BE11" s="1" t="s">
        <v>159</v>
      </c>
      <c r="BF11" s="1" t="s">
        <v>137</v>
      </c>
      <c r="BG11" s="1" t="s">
        <v>316</v>
      </c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 t="s">
        <v>161</v>
      </c>
    </row>
    <row r="12" spans="1:119" x14ac:dyDescent="0.2">
      <c r="A12" s="1" t="s">
        <v>178</v>
      </c>
      <c r="B12" s="1" t="s">
        <v>179</v>
      </c>
      <c r="C12" s="1"/>
      <c r="D12" s="1"/>
      <c r="E12" s="1"/>
      <c r="F12" s="1"/>
      <c r="G12" s="1"/>
      <c r="H12" s="1" t="s">
        <v>135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 t="s">
        <v>306</v>
      </c>
      <c r="W12" s="1" t="s">
        <v>155</v>
      </c>
      <c r="X12" s="1" t="s">
        <v>307</v>
      </c>
      <c r="Y12" s="1" t="s">
        <v>308</v>
      </c>
      <c r="Z12" s="1" t="s">
        <v>308</v>
      </c>
      <c r="AA12" s="1" t="s">
        <v>188</v>
      </c>
      <c r="AB12" s="1" t="s">
        <v>141</v>
      </c>
      <c r="AC12" s="1" t="s">
        <v>141</v>
      </c>
      <c r="AD12" s="1" t="s">
        <v>137</v>
      </c>
      <c r="AE12" s="1" t="s">
        <v>309</v>
      </c>
      <c r="AF12" s="1" t="s">
        <v>206</v>
      </c>
      <c r="AG12" s="1" t="s">
        <v>139</v>
      </c>
      <c r="AH12" s="1" t="s">
        <v>310</v>
      </c>
      <c r="AI12" s="1" t="s">
        <v>146</v>
      </c>
      <c r="AJ12" s="1" t="s">
        <v>311</v>
      </c>
      <c r="AK12" s="1" t="s">
        <v>158</v>
      </c>
      <c r="AL12" s="1" t="s">
        <v>159</v>
      </c>
      <c r="AM12" s="1" t="s">
        <v>200</v>
      </c>
      <c r="AN12" s="1" t="s">
        <v>146</v>
      </c>
      <c r="AO12" s="1" t="s">
        <v>146</v>
      </c>
      <c r="AP12" s="1" t="s">
        <v>309</v>
      </c>
      <c r="AQ12" s="1" t="s">
        <v>312</v>
      </c>
      <c r="AR12" s="1" t="s">
        <v>159</v>
      </c>
      <c r="AS12" s="1" t="s">
        <v>313</v>
      </c>
      <c r="AT12" s="1" t="s">
        <v>314</v>
      </c>
      <c r="AU12" s="1" t="s">
        <v>315</v>
      </c>
      <c r="AV12" s="1" t="s">
        <v>195</v>
      </c>
      <c r="AW12" s="1" t="s">
        <v>158</v>
      </c>
      <c r="AX12" s="1" t="s">
        <v>157</v>
      </c>
      <c r="AY12" s="1" t="s">
        <v>206</v>
      </c>
      <c r="AZ12" s="1" t="s">
        <v>146</v>
      </c>
      <c r="BA12" s="1" t="s">
        <v>146</v>
      </c>
      <c r="BB12" s="1" t="s">
        <v>309</v>
      </c>
      <c r="BC12" s="1" t="s">
        <v>146</v>
      </c>
      <c r="BD12" s="1" t="s">
        <v>146</v>
      </c>
      <c r="BE12" s="1" t="s">
        <v>159</v>
      </c>
      <c r="BF12" s="1" t="s">
        <v>137</v>
      </c>
      <c r="BG12" s="1" t="s">
        <v>316</v>
      </c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 t="s">
        <v>161</v>
      </c>
    </row>
    <row r="13" spans="1:119" x14ac:dyDescent="0.2">
      <c r="A13" s="1" t="s">
        <v>180</v>
      </c>
      <c r="B13" s="1" t="s">
        <v>181</v>
      </c>
      <c r="C13" s="1"/>
      <c r="D13" s="1"/>
      <c r="E13" s="1"/>
      <c r="F13" s="1"/>
      <c r="G13" s="1"/>
      <c r="H13" s="1" t="s">
        <v>135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 t="s">
        <v>306</v>
      </c>
      <c r="W13" s="1" t="s">
        <v>155</v>
      </c>
      <c r="X13" s="1" t="s">
        <v>307</v>
      </c>
      <c r="Y13" s="1" t="s">
        <v>308</v>
      </c>
      <c r="Z13" s="1" t="s">
        <v>308</v>
      </c>
      <c r="AA13" s="1" t="s">
        <v>188</v>
      </c>
      <c r="AB13" s="1" t="s">
        <v>141</v>
      </c>
      <c r="AC13" s="1" t="s">
        <v>141</v>
      </c>
      <c r="AD13" s="1" t="s">
        <v>137</v>
      </c>
      <c r="AE13" s="1" t="s">
        <v>309</v>
      </c>
      <c r="AF13" s="1" t="s">
        <v>206</v>
      </c>
      <c r="AG13" s="1" t="s">
        <v>139</v>
      </c>
      <c r="AH13" s="1" t="s">
        <v>310</v>
      </c>
      <c r="AI13" s="1" t="s">
        <v>146</v>
      </c>
      <c r="AJ13" s="1" t="s">
        <v>311</v>
      </c>
      <c r="AK13" s="1" t="s">
        <v>158</v>
      </c>
      <c r="AL13" s="1" t="s">
        <v>159</v>
      </c>
      <c r="AM13" s="1" t="s">
        <v>200</v>
      </c>
      <c r="AN13" s="1" t="s">
        <v>146</v>
      </c>
      <c r="AO13" s="1" t="s">
        <v>146</v>
      </c>
      <c r="AP13" s="1" t="s">
        <v>309</v>
      </c>
      <c r="AQ13" s="1" t="s">
        <v>312</v>
      </c>
      <c r="AR13" s="1" t="s">
        <v>159</v>
      </c>
      <c r="AS13" s="1" t="s">
        <v>313</v>
      </c>
      <c r="AT13" s="1" t="s">
        <v>314</v>
      </c>
      <c r="AU13" s="1" t="s">
        <v>315</v>
      </c>
      <c r="AV13" s="1" t="s">
        <v>195</v>
      </c>
      <c r="AW13" s="1" t="s">
        <v>158</v>
      </c>
      <c r="AX13" s="1" t="s">
        <v>157</v>
      </c>
      <c r="AY13" s="1" t="s">
        <v>206</v>
      </c>
      <c r="AZ13" s="1" t="s">
        <v>146</v>
      </c>
      <c r="BA13" s="1" t="s">
        <v>146</v>
      </c>
      <c r="BB13" s="1" t="s">
        <v>309</v>
      </c>
      <c r="BC13" s="1" t="s">
        <v>146</v>
      </c>
      <c r="BD13" s="1" t="s">
        <v>146</v>
      </c>
      <c r="BE13" s="1" t="s">
        <v>159</v>
      </c>
      <c r="BF13" s="1" t="s">
        <v>137</v>
      </c>
      <c r="BG13" s="1" t="s">
        <v>316</v>
      </c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 t="s">
        <v>161</v>
      </c>
    </row>
    <row r="14" spans="1:119" x14ac:dyDescent="0.2">
      <c r="A14" s="1" t="s">
        <v>182</v>
      </c>
      <c r="B14" s="1" t="s">
        <v>183</v>
      </c>
      <c r="C14" s="1"/>
      <c r="D14" s="1"/>
      <c r="E14" s="1"/>
      <c r="F14" s="1"/>
      <c r="G14" s="1"/>
      <c r="H14" s="1" t="s">
        <v>135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 t="s">
        <v>306</v>
      </c>
      <c r="W14" s="1" t="s">
        <v>155</v>
      </c>
      <c r="X14" s="1" t="s">
        <v>307</v>
      </c>
      <c r="Y14" s="1" t="s">
        <v>308</v>
      </c>
      <c r="Z14" s="1" t="s">
        <v>308</v>
      </c>
      <c r="AA14" s="1" t="s">
        <v>188</v>
      </c>
      <c r="AB14" s="1" t="s">
        <v>141</v>
      </c>
      <c r="AC14" s="1" t="s">
        <v>141</v>
      </c>
      <c r="AD14" s="1" t="s">
        <v>137</v>
      </c>
      <c r="AE14" s="1" t="s">
        <v>309</v>
      </c>
      <c r="AF14" s="1" t="s">
        <v>206</v>
      </c>
      <c r="AG14" s="1" t="s">
        <v>139</v>
      </c>
      <c r="AH14" s="1" t="s">
        <v>310</v>
      </c>
      <c r="AI14" s="1" t="s">
        <v>146</v>
      </c>
      <c r="AJ14" s="1" t="s">
        <v>311</v>
      </c>
      <c r="AK14" s="1" t="s">
        <v>158</v>
      </c>
      <c r="AL14" s="1" t="s">
        <v>159</v>
      </c>
      <c r="AM14" s="1" t="s">
        <v>200</v>
      </c>
      <c r="AN14" s="1" t="s">
        <v>146</v>
      </c>
      <c r="AO14" s="1" t="s">
        <v>146</v>
      </c>
      <c r="AP14" s="1" t="s">
        <v>309</v>
      </c>
      <c r="AQ14" s="1" t="s">
        <v>312</v>
      </c>
      <c r="AR14" s="1" t="s">
        <v>159</v>
      </c>
      <c r="AS14" s="1" t="s">
        <v>313</v>
      </c>
      <c r="AT14" s="1" t="s">
        <v>314</v>
      </c>
      <c r="AU14" s="1" t="s">
        <v>315</v>
      </c>
      <c r="AV14" s="1" t="s">
        <v>195</v>
      </c>
      <c r="AW14" s="1" t="s">
        <v>158</v>
      </c>
      <c r="AX14" s="1" t="s">
        <v>157</v>
      </c>
      <c r="AY14" s="1" t="s">
        <v>206</v>
      </c>
      <c r="AZ14" s="1" t="s">
        <v>146</v>
      </c>
      <c r="BA14" s="1" t="s">
        <v>146</v>
      </c>
      <c r="BB14" s="1" t="s">
        <v>309</v>
      </c>
      <c r="BC14" s="1" t="s">
        <v>146</v>
      </c>
      <c r="BD14" s="1" t="s">
        <v>146</v>
      </c>
      <c r="BE14" s="1" t="s">
        <v>159</v>
      </c>
      <c r="BF14" s="1" t="s">
        <v>137</v>
      </c>
      <c r="BG14" s="1" t="s">
        <v>316</v>
      </c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 t="s">
        <v>161</v>
      </c>
    </row>
    <row r="15" spans="1:119" x14ac:dyDescent="0.2">
      <c r="A15" s="1" t="s">
        <v>184</v>
      </c>
      <c r="B15" s="1" t="s">
        <v>185</v>
      </c>
      <c r="C15" s="1"/>
      <c r="D15" s="1"/>
      <c r="E15" s="1"/>
      <c r="F15" s="1"/>
      <c r="G15" s="1"/>
      <c r="H15" s="1" t="s">
        <v>135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 t="s">
        <v>306</v>
      </c>
      <c r="W15" s="1" t="s">
        <v>155</v>
      </c>
      <c r="X15" s="1" t="s">
        <v>307</v>
      </c>
      <c r="Y15" s="1" t="s">
        <v>308</v>
      </c>
      <c r="Z15" s="1" t="s">
        <v>308</v>
      </c>
      <c r="AA15" s="1" t="s">
        <v>188</v>
      </c>
      <c r="AB15" s="1" t="s">
        <v>141</v>
      </c>
      <c r="AC15" s="1" t="s">
        <v>141</v>
      </c>
      <c r="AD15" s="1" t="s">
        <v>137</v>
      </c>
      <c r="AE15" s="1" t="s">
        <v>309</v>
      </c>
      <c r="AF15" s="1" t="s">
        <v>206</v>
      </c>
      <c r="AG15" s="1" t="s">
        <v>139</v>
      </c>
      <c r="AH15" s="1" t="s">
        <v>310</v>
      </c>
      <c r="AI15" s="1" t="s">
        <v>146</v>
      </c>
      <c r="AJ15" s="1" t="s">
        <v>311</v>
      </c>
      <c r="AK15" s="1" t="s">
        <v>158</v>
      </c>
      <c r="AL15" s="1" t="s">
        <v>159</v>
      </c>
      <c r="AM15" s="1" t="s">
        <v>200</v>
      </c>
      <c r="AN15" s="1" t="s">
        <v>146</v>
      </c>
      <c r="AO15" s="1" t="s">
        <v>146</v>
      </c>
      <c r="AP15" s="1" t="s">
        <v>309</v>
      </c>
      <c r="AQ15" s="1" t="s">
        <v>312</v>
      </c>
      <c r="AR15" s="1" t="s">
        <v>159</v>
      </c>
      <c r="AS15" s="1" t="s">
        <v>313</v>
      </c>
      <c r="AT15" s="1" t="s">
        <v>314</v>
      </c>
      <c r="AU15" s="1" t="s">
        <v>315</v>
      </c>
      <c r="AV15" s="1" t="s">
        <v>195</v>
      </c>
      <c r="AW15" s="1" t="s">
        <v>158</v>
      </c>
      <c r="AX15" s="1" t="s">
        <v>157</v>
      </c>
      <c r="AY15" s="1" t="s">
        <v>206</v>
      </c>
      <c r="AZ15" s="1" t="s">
        <v>146</v>
      </c>
      <c r="BA15" s="1" t="s">
        <v>146</v>
      </c>
      <c r="BB15" s="1" t="s">
        <v>309</v>
      </c>
      <c r="BC15" s="1" t="s">
        <v>146</v>
      </c>
      <c r="BD15" s="1" t="s">
        <v>146</v>
      </c>
      <c r="BE15" s="1" t="s">
        <v>159</v>
      </c>
      <c r="BF15" s="1" t="s">
        <v>137</v>
      </c>
      <c r="BG15" s="1" t="s">
        <v>316</v>
      </c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 t="s">
        <v>161</v>
      </c>
    </row>
    <row r="16" spans="1:119" x14ac:dyDescent="0.2">
      <c r="A16" s="1" t="s">
        <v>186</v>
      </c>
      <c r="B16" s="1" t="s">
        <v>187</v>
      </c>
      <c r="C16" s="1"/>
      <c r="D16" s="1"/>
      <c r="E16" s="1"/>
      <c r="F16" s="1"/>
      <c r="G16" s="1"/>
      <c r="H16" s="1" t="s">
        <v>164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 t="s">
        <v>306</v>
      </c>
      <c r="W16" s="1" t="s">
        <v>155</v>
      </c>
      <c r="X16" s="1" t="s">
        <v>307</v>
      </c>
      <c r="Y16" s="1" t="s">
        <v>308</v>
      </c>
      <c r="Z16" s="1" t="s">
        <v>308</v>
      </c>
      <c r="AA16" s="1" t="s">
        <v>188</v>
      </c>
      <c r="AB16" s="1" t="s">
        <v>141</v>
      </c>
      <c r="AC16" s="1" t="s">
        <v>141</v>
      </c>
      <c r="AD16" s="1" t="s">
        <v>137</v>
      </c>
      <c r="AE16" s="1" t="s">
        <v>309</v>
      </c>
      <c r="AF16" s="1" t="s">
        <v>206</v>
      </c>
      <c r="AG16" s="1" t="s">
        <v>139</v>
      </c>
      <c r="AH16" s="1" t="s">
        <v>146</v>
      </c>
      <c r="AI16" s="1" t="s">
        <v>146</v>
      </c>
      <c r="AJ16" s="1" t="s">
        <v>311</v>
      </c>
      <c r="AK16" s="1" t="s">
        <v>158</v>
      </c>
      <c r="AL16" s="1" t="s">
        <v>159</v>
      </c>
      <c r="AM16" s="1" t="s">
        <v>200</v>
      </c>
      <c r="AN16" s="1" t="s">
        <v>146</v>
      </c>
      <c r="AO16" s="1" t="s">
        <v>146</v>
      </c>
      <c r="AP16" s="1" t="s">
        <v>309</v>
      </c>
      <c r="AQ16" s="1" t="s">
        <v>312</v>
      </c>
      <c r="AR16" s="1" t="s">
        <v>159</v>
      </c>
      <c r="AS16" s="1" t="s">
        <v>317</v>
      </c>
      <c r="AT16" s="1" t="s">
        <v>314</v>
      </c>
      <c r="AU16" s="1" t="s">
        <v>315</v>
      </c>
      <c r="AV16" s="1" t="s">
        <v>195</v>
      </c>
      <c r="AW16" s="1" t="s">
        <v>158</v>
      </c>
      <c r="AX16" s="1" t="s">
        <v>157</v>
      </c>
      <c r="AY16" s="1" t="s">
        <v>206</v>
      </c>
      <c r="AZ16" s="1" t="s">
        <v>146</v>
      </c>
      <c r="BA16" s="1" t="s">
        <v>146</v>
      </c>
      <c r="BB16" s="1" t="s">
        <v>309</v>
      </c>
      <c r="BC16" s="1" t="s">
        <v>146</v>
      </c>
      <c r="BD16" s="1" t="s">
        <v>146</v>
      </c>
      <c r="BE16" s="1" t="s">
        <v>159</v>
      </c>
      <c r="BF16" s="1" t="s">
        <v>137</v>
      </c>
      <c r="BG16" s="1" t="s">
        <v>316</v>
      </c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 t="s">
        <v>161</v>
      </c>
    </row>
    <row r="17" spans="1:119" x14ac:dyDescent="0.2">
      <c r="A17" s="1" t="s">
        <v>189</v>
      </c>
      <c r="B17" s="1" t="s">
        <v>190</v>
      </c>
      <c r="C17" s="1"/>
      <c r="D17" s="1"/>
      <c r="E17" s="1"/>
      <c r="F17" s="1"/>
      <c r="G17" s="1"/>
      <c r="H17" s="1" t="s">
        <v>191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 t="s">
        <v>306</v>
      </c>
      <c r="W17" s="1" t="s">
        <v>155</v>
      </c>
      <c r="X17" s="1" t="s">
        <v>307</v>
      </c>
      <c r="Y17" s="1" t="s">
        <v>308</v>
      </c>
      <c r="Z17" s="1" t="s">
        <v>308</v>
      </c>
      <c r="AA17" s="1" t="s">
        <v>188</v>
      </c>
      <c r="AB17" s="1" t="s">
        <v>141</v>
      </c>
      <c r="AC17" s="1" t="s">
        <v>141</v>
      </c>
      <c r="AD17" s="1" t="s">
        <v>137</v>
      </c>
      <c r="AE17" s="1" t="s">
        <v>309</v>
      </c>
      <c r="AF17" s="1" t="s">
        <v>206</v>
      </c>
      <c r="AG17" s="1" t="s">
        <v>139</v>
      </c>
      <c r="AH17" s="1" t="s">
        <v>310</v>
      </c>
      <c r="AI17" s="1" t="s">
        <v>146</v>
      </c>
      <c r="AJ17" s="1" t="s">
        <v>311</v>
      </c>
      <c r="AK17" s="1" t="s">
        <v>158</v>
      </c>
      <c r="AL17" s="1" t="s">
        <v>159</v>
      </c>
      <c r="AM17" s="1" t="s">
        <v>200</v>
      </c>
      <c r="AN17" s="1" t="s">
        <v>146</v>
      </c>
      <c r="AO17" s="1" t="s">
        <v>146</v>
      </c>
      <c r="AP17" s="1" t="s">
        <v>309</v>
      </c>
      <c r="AQ17" s="1" t="s">
        <v>312</v>
      </c>
      <c r="AR17" s="1" t="s">
        <v>159</v>
      </c>
      <c r="AS17" s="1" t="s">
        <v>313</v>
      </c>
      <c r="AT17" s="1" t="s">
        <v>314</v>
      </c>
      <c r="AU17" s="1" t="s">
        <v>315</v>
      </c>
      <c r="AV17" s="1" t="s">
        <v>195</v>
      </c>
      <c r="AW17" s="1" t="s">
        <v>158</v>
      </c>
      <c r="AX17" s="1" t="s">
        <v>157</v>
      </c>
      <c r="AY17" s="1" t="s">
        <v>206</v>
      </c>
      <c r="AZ17" s="1" t="s">
        <v>146</v>
      </c>
      <c r="BA17" s="1" t="s">
        <v>146</v>
      </c>
      <c r="BB17" s="1" t="s">
        <v>309</v>
      </c>
      <c r="BC17" s="1" t="s">
        <v>146</v>
      </c>
      <c r="BD17" s="1" t="s">
        <v>146</v>
      </c>
      <c r="BE17" s="1" t="s">
        <v>159</v>
      </c>
      <c r="BF17" s="1" t="s">
        <v>137</v>
      </c>
      <c r="BG17" s="1" t="s">
        <v>316</v>
      </c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 t="s">
        <v>161</v>
      </c>
    </row>
    <row r="18" spans="1:119" x14ac:dyDescent="0.2">
      <c r="A18" s="1" t="s">
        <v>200</v>
      </c>
      <c r="B18" s="1" t="s">
        <v>201</v>
      </c>
      <c r="C18" s="1"/>
      <c r="D18" s="1"/>
      <c r="E18" s="1"/>
      <c r="F18" s="1"/>
      <c r="G18" s="1"/>
      <c r="H18" s="1" t="s">
        <v>135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 t="s">
        <v>306</v>
      </c>
      <c r="W18" s="1" t="s">
        <v>155</v>
      </c>
      <c r="X18" s="1" t="s">
        <v>307</v>
      </c>
      <c r="Y18" s="1" t="s">
        <v>308</v>
      </c>
      <c r="Z18" s="1" t="s">
        <v>308</v>
      </c>
      <c r="AA18" s="1" t="s">
        <v>188</v>
      </c>
      <c r="AB18" s="1" t="s">
        <v>141</v>
      </c>
      <c r="AC18" s="1" t="s">
        <v>141</v>
      </c>
      <c r="AD18" s="1" t="s">
        <v>137</v>
      </c>
      <c r="AE18" s="1" t="s">
        <v>309</v>
      </c>
      <c r="AF18" s="1" t="s">
        <v>206</v>
      </c>
      <c r="AG18" s="1" t="s">
        <v>139</v>
      </c>
      <c r="AH18" s="1" t="s">
        <v>310</v>
      </c>
      <c r="AI18" s="1" t="s">
        <v>146</v>
      </c>
      <c r="AJ18" s="1" t="s">
        <v>311</v>
      </c>
      <c r="AK18" s="1" t="s">
        <v>158</v>
      </c>
      <c r="AL18" s="1" t="s">
        <v>159</v>
      </c>
      <c r="AM18" s="1" t="s">
        <v>200</v>
      </c>
      <c r="AN18" s="1" t="s">
        <v>146</v>
      </c>
      <c r="AO18" s="1" t="s">
        <v>146</v>
      </c>
      <c r="AP18" s="1" t="s">
        <v>309</v>
      </c>
      <c r="AQ18" s="1" t="s">
        <v>312</v>
      </c>
      <c r="AR18" s="1" t="s">
        <v>159</v>
      </c>
      <c r="AS18" s="1" t="s">
        <v>313</v>
      </c>
      <c r="AT18" s="1" t="s">
        <v>314</v>
      </c>
      <c r="AU18" s="1" t="s">
        <v>315</v>
      </c>
      <c r="AV18" s="1" t="s">
        <v>195</v>
      </c>
      <c r="AW18" s="1" t="s">
        <v>158</v>
      </c>
      <c r="AX18" s="1" t="s">
        <v>157</v>
      </c>
      <c r="AY18" s="1" t="s">
        <v>206</v>
      </c>
      <c r="AZ18" s="1" t="s">
        <v>146</v>
      </c>
      <c r="BA18" s="1" t="s">
        <v>146</v>
      </c>
      <c r="BB18" s="1" t="s">
        <v>309</v>
      </c>
      <c r="BC18" s="1" t="s">
        <v>146</v>
      </c>
      <c r="BD18" s="1" t="s">
        <v>146</v>
      </c>
      <c r="BE18" s="1" t="s">
        <v>159</v>
      </c>
      <c r="BF18" s="1" t="s">
        <v>137</v>
      </c>
      <c r="BG18" s="1" t="s">
        <v>316</v>
      </c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 t="s">
        <v>161</v>
      </c>
    </row>
    <row r="19" spans="1:119" x14ac:dyDescent="0.2">
      <c r="A19" s="1" t="s">
        <v>202</v>
      </c>
      <c r="B19" s="1" t="s">
        <v>203</v>
      </c>
      <c r="C19" s="1"/>
      <c r="D19" s="1"/>
      <c r="E19" s="1"/>
      <c r="F19" s="1"/>
      <c r="G19" s="1"/>
      <c r="H19" s="1" t="s">
        <v>135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 t="s">
        <v>306</v>
      </c>
      <c r="W19" s="1" t="s">
        <v>155</v>
      </c>
      <c r="X19" s="1" t="s">
        <v>307</v>
      </c>
      <c r="Y19" s="1" t="s">
        <v>308</v>
      </c>
      <c r="Z19" s="1" t="s">
        <v>308</v>
      </c>
      <c r="AA19" s="1" t="s">
        <v>188</v>
      </c>
      <c r="AB19" s="1" t="s">
        <v>141</v>
      </c>
      <c r="AC19" s="1" t="s">
        <v>141</v>
      </c>
      <c r="AD19" s="1" t="s">
        <v>137</v>
      </c>
      <c r="AE19" s="1" t="s">
        <v>309</v>
      </c>
      <c r="AF19" s="1" t="s">
        <v>206</v>
      </c>
      <c r="AG19" s="1" t="s">
        <v>139</v>
      </c>
      <c r="AH19" s="1" t="s">
        <v>310</v>
      </c>
      <c r="AI19" s="1" t="s">
        <v>146</v>
      </c>
      <c r="AJ19" s="1" t="s">
        <v>311</v>
      </c>
      <c r="AK19" s="1" t="s">
        <v>158</v>
      </c>
      <c r="AL19" s="1" t="s">
        <v>159</v>
      </c>
      <c r="AM19" s="1" t="s">
        <v>200</v>
      </c>
      <c r="AN19" s="1" t="s">
        <v>146</v>
      </c>
      <c r="AO19" s="1" t="s">
        <v>146</v>
      </c>
      <c r="AP19" s="1" t="s">
        <v>309</v>
      </c>
      <c r="AQ19" s="1" t="s">
        <v>312</v>
      </c>
      <c r="AR19" s="1" t="s">
        <v>159</v>
      </c>
      <c r="AS19" s="1" t="s">
        <v>313</v>
      </c>
      <c r="AT19" s="1" t="s">
        <v>314</v>
      </c>
      <c r="AU19" s="1" t="s">
        <v>315</v>
      </c>
      <c r="AV19" s="1" t="s">
        <v>195</v>
      </c>
      <c r="AW19" s="1" t="s">
        <v>158</v>
      </c>
      <c r="AX19" s="1" t="s">
        <v>157</v>
      </c>
      <c r="AY19" s="1" t="s">
        <v>206</v>
      </c>
      <c r="AZ19" s="1" t="s">
        <v>146</v>
      </c>
      <c r="BA19" s="1" t="s">
        <v>146</v>
      </c>
      <c r="BB19" s="1" t="s">
        <v>309</v>
      </c>
      <c r="BC19" s="1" t="s">
        <v>146</v>
      </c>
      <c r="BD19" s="1" t="s">
        <v>146</v>
      </c>
      <c r="BE19" s="1" t="s">
        <v>159</v>
      </c>
      <c r="BF19" s="1" t="s">
        <v>137</v>
      </c>
      <c r="BG19" s="1" t="s">
        <v>316</v>
      </c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 t="s">
        <v>161</v>
      </c>
    </row>
    <row r="20" spans="1:119" x14ac:dyDescent="0.2">
      <c r="A20" s="1" t="s">
        <v>159</v>
      </c>
      <c r="B20" s="1" t="s">
        <v>204</v>
      </c>
      <c r="C20" s="1"/>
      <c r="D20" s="1"/>
      <c r="E20" s="1"/>
      <c r="F20" s="1"/>
      <c r="G20" s="1"/>
      <c r="H20" s="1" t="s">
        <v>205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 t="s">
        <v>318</v>
      </c>
      <c r="W20" s="1" t="s">
        <v>144</v>
      </c>
      <c r="X20" s="1" t="s">
        <v>319</v>
      </c>
      <c r="Y20" s="1" t="s">
        <v>150</v>
      </c>
      <c r="Z20" s="1" t="s">
        <v>308</v>
      </c>
      <c r="AA20" s="1" t="s">
        <v>160</v>
      </c>
      <c r="AB20" s="1" t="s">
        <v>137</v>
      </c>
      <c r="AC20" s="1" t="s">
        <v>137</v>
      </c>
      <c r="AD20" s="1" t="s">
        <v>137</v>
      </c>
      <c r="AE20" s="1" t="s">
        <v>188</v>
      </c>
      <c r="AF20" s="1" t="s">
        <v>206</v>
      </c>
      <c r="AG20" s="1" t="s">
        <v>139</v>
      </c>
      <c r="AH20" s="1" t="s">
        <v>310</v>
      </c>
      <c r="AI20" s="1" t="s">
        <v>146</v>
      </c>
      <c r="AJ20" s="1" t="s">
        <v>195</v>
      </c>
      <c r="AK20" s="1" t="s">
        <v>143</v>
      </c>
      <c r="AL20" s="1" t="s">
        <v>211</v>
      </c>
      <c r="AM20" s="1" t="s">
        <v>144</v>
      </c>
      <c r="AN20" s="1" t="s">
        <v>147</v>
      </c>
      <c r="AO20" s="1" t="s">
        <v>146</v>
      </c>
      <c r="AP20" s="1" t="s">
        <v>309</v>
      </c>
      <c r="AQ20" s="1" t="s">
        <v>146</v>
      </c>
      <c r="AR20" s="1" t="s">
        <v>146</v>
      </c>
      <c r="AS20" s="1" t="s">
        <v>159</v>
      </c>
      <c r="AT20" s="1" t="s">
        <v>137</v>
      </c>
      <c r="AU20" s="1" t="s">
        <v>316</v>
      </c>
      <c r="AV20" s="1" t="s">
        <v>311</v>
      </c>
      <c r="AW20" s="1" t="s">
        <v>156</v>
      </c>
      <c r="AX20" s="1" t="s">
        <v>159</v>
      </c>
      <c r="AY20" s="1" t="s">
        <v>143</v>
      </c>
      <c r="AZ20" s="1" t="s">
        <v>146</v>
      </c>
      <c r="BA20" s="1" t="s">
        <v>146</v>
      </c>
      <c r="BB20" s="1" t="s">
        <v>309</v>
      </c>
      <c r="BC20" s="1" t="s">
        <v>320</v>
      </c>
      <c r="BD20" s="1" t="s">
        <v>159</v>
      </c>
      <c r="BE20" s="1" t="s">
        <v>321</v>
      </c>
      <c r="BF20" s="1" t="s">
        <v>322</v>
      </c>
      <c r="BG20" s="1" t="s">
        <v>315</v>
      </c>
      <c r="BH20" s="1" t="s">
        <v>195</v>
      </c>
      <c r="BI20" s="1" t="s">
        <v>143</v>
      </c>
      <c r="BJ20" s="1" t="s">
        <v>158</v>
      </c>
      <c r="BK20" s="1" t="s">
        <v>156</v>
      </c>
      <c r="BL20" s="1" t="s">
        <v>146</v>
      </c>
      <c r="BM20" s="1" t="s">
        <v>146</v>
      </c>
      <c r="BN20" s="1" t="s">
        <v>309</v>
      </c>
      <c r="BO20" s="1" t="s">
        <v>146</v>
      </c>
      <c r="BP20" s="1" t="s">
        <v>146</v>
      </c>
      <c r="BQ20" s="1" t="s">
        <v>159</v>
      </c>
      <c r="BR20" s="1" t="s">
        <v>137</v>
      </c>
      <c r="BS20" s="1" t="s">
        <v>316</v>
      </c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 t="s">
        <v>161</v>
      </c>
    </row>
    <row r="21" spans="1:119" x14ac:dyDescent="0.2">
      <c r="A21" s="1" t="s">
        <v>157</v>
      </c>
      <c r="B21" s="1" t="s">
        <v>208</v>
      </c>
      <c r="C21" s="1"/>
      <c r="D21" s="1"/>
      <c r="E21" s="1"/>
      <c r="F21" s="1"/>
      <c r="G21" s="1"/>
      <c r="H21" s="1" t="s">
        <v>191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 t="s">
        <v>306</v>
      </c>
      <c r="W21" s="1" t="s">
        <v>155</v>
      </c>
      <c r="X21" s="1" t="s">
        <v>307</v>
      </c>
      <c r="Y21" s="1" t="s">
        <v>308</v>
      </c>
      <c r="Z21" s="1" t="s">
        <v>308</v>
      </c>
      <c r="AA21" s="1" t="s">
        <v>188</v>
      </c>
      <c r="AB21" s="1" t="s">
        <v>141</v>
      </c>
      <c r="AC21" s="1" t="s">
        <v>141</v>
      </c>
      <c r="AD21" s="1" t="s">
        <v>137</v>
      </c>
      <c r="AE21" s="1" t="s">
        <v>309</v>
      </c>
      <c r="AF21" s="1" t="s">
        <v>206</v>
      </c>
      <c r="AG21" s="1" t="s">
        <v>139</v>
      </c>
      <c r="AH21" s="1" t="s">
        <v>310</v>
      </c>
      <c r="AI21" s="1" t="s">
        <v>146</v>
      </c>
      <c r="AJ21" s="1" t="s">
        <v>311</v>
      </c>
      <c r="AK21" s="1" t="s">
        <v>158</v>
      </c>
      <c r="AL21" s="1" t="s">
        <v>159</v>
      </c>
      <c r="AM21" s="1" t="s">
        <v>200</v>
      </c>
      <c r="AN21" s="1" t="s">
        <v>146</v>
      </c>
      <c r="AO21" s="1" t="s">
        <v>146</v>
      </c>
      <c r="AP21" s="1" t="s">
        <v>309</v>
      </c>
      <c r="AQ21" s="1" t="s">
        <v>312</v>
      </c>
      <c r="AR21" s="1" t="s">
        <v>159</v>
      </c>
      <c r="AS21" s="1" t="s">
        <v>313</v>
      </c>
      <c r="AT21" s="1" t="s">
        <v>314</v>
      </c>
      <c r="AU21" s="1" t="s">
        <v>315</v>
      </c>
      <c r="AV21" s="1" t="s">
        <v>195</v>
      </c>
      <c r="AW21" s="1" t="s">
        <v>158</v>
      </c>
      <c r="AX21" s="1" t="s">
        <v>157</v>
      </c>
      <c r="AY21" s="1" t="s">
        <v>206</v>
      </c>
      <c r="AZ21" s="1" t="s">
        <v>146</v>
      </c>
      <c r="BA21" s="1" t="s">
        <v>146</v>
      </c>
      <c r="BB21" s="1" t="s">
        <v>309</v>
      </c>
      <c r="BC21" s="1" t="s">
        <v>146</v>
      </c>
      <c r="BD21" s="1" t="s">
        <v>146</v>
      </c>
      <c r="BE21" s="1" t="s">
        <v>159</v>
      </c>
      <c r="BF21" s="1" t="s">
        <v>137</v>
      </c>
      <c r="BG21" s="1" t="s">
        <v>316</v>
      </c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 t="s">
        <v>161</v>
      </c>
    </row>
    <row r="22" spans="1:119" s="14" customFormat="1" x14ac:dyDescent="0.2">
      <c r="A22" s="13" t="s">
        <v>209</v>
      </c>
      <c r="B22" s="13" t="s">
        <v>210</v>
      </c>
      <c r="C22" s="13"/>
      <c r="D22" s="13"/>
      <c r="E22" s="13"/>
      <c r="F22" s="13"/>
      <c r="G22" s="13"/>
      <c r="H22" s="13" t="s">
        <v>164</v>
      </c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 t="s">
        <v>306</v>
      </c>
      <c r="W22" s="13" t="s">
        <v>155</v>
      </c>
      <c r="X22" s="13" t="s">
        <v>307</v>
      </c>
      <c r="Y22" s="13" t="s">
        <v>308</v>
      </c>
      <c r="Z22" s="13" t="s">
        <v>308</v>
      </c>
      <c r="AA22" s="13" t="s">
        <v>188</v>
      </c>
      <c r="AB22" s="13" t="s">
        <v>141</v>
      </c>
      <c r="AC22" s="13" t="s">
        <v>141</v>
      </c>
      <c r="AD22" s="13" t="s">
        <v>137</v>
      </c>
      <c r="AE22" s="13" t="s">
        <v>309</v>
      </c>
      <c r="AF22" s="13" t="s">
        <v>206</v>
      </c>
      <c r="AG22" s="13" t="s">
        <v>139</v>
      </c>
      <c r="AH22" s="13" t="s">
        <v>146</v>
      </c>
      <c r="AI22" s="13" t="s">
        <v>146</v>
      </c>
      <c r="AJ22" s="13" t="s">
        <v>311</v>
      </c>
      <c r="AK22" s="13" t="s">
        <v>158</v>
      </c>
      <c r="AL22" s="13" t="s">
        <v>159</v>
      </c>
      <c r="AM22" s="13" t="s">
        <v>200</v>
      </c>
      <c r="AN22" s="13" t="s">
        <v>146</v>
      </c>
      <c r="AO22" s="13" t="s">
        <v>146</v>
      </c>
      <c r="AP22" s="13" t="s">
        <v>309</v>
      </c>
      <c r="AQ22" s="13" t="s">
        <v>312</v>
      </c>
      <c r="AR22" s="13" t="s">
        <v>159</v>
      </c>
      <c r="AS22" s="13" t="s">
        <v>317</v>
      </c>
      <c r="AT22" s="13" t="s">
        <v>314</v>
      </c>
      <c r="AU22" s="13" t="s">
        <v>315</v>
      </c>
      <c r="AV22" s="13" t="s">
        <v>195</v>
      </c>
      <c r="AW22" s="13" t="s">
        <v>158</v>
      </c>
      <c r="AX22" s="13" t="s">
        <v>157</v>
      </c>
      <c r="AY22" s="13" t="s">
        <v>206</v>
      </c>
      <c r="AZ22" s="13" t="s">
        <v>146</v>
      </c>
      <c r="BA22" s="13" t="s">
        <v>146</v>
      </c>
      <c r="BB22" s="13" t="s">
        <v>309</v>
      </c>
      <c r="BC22" s="13" t="s">
        <v>146</v>
      </c>
      <c r="BD22" s="13" t="s">
        <v>146</v>
      </c>
      <c r="BE22" s="13" t="s">
        <v>159</v>
      </c>
      <c r="BF22" s="13" t="s">
        <v>137</v>
      </c>
      <c r="BG22" s="13" t="s">
        <v>316</v>
      </c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 t="s">
        <v>161</v>
      </c>
    </row>
    <row r="23" spans="1:119" x14ac:dyDescent="0.2">
      <c r="A23" s="1" t="s">
        <v>211</v>
      </c>
      <c r="B23" s="1" t="s">
        <v>212</v>
      </c>
      <c r="C23" s="1"/>
      <c r="D23" s="1"/>
      <c r="E23" s="1"/>
      <c r="F23" s="1"/>
      <c r="G23" s="1"/>
      <c r="H23" s="1" t="s">
        <v>164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 t="s">
        <v>306</v>
      </c>
      <c r="W23" s="1" t="s">
        <v>155</v>
      </c>
      <c r="X23" s="1" t="s">
        <v>307</v>
      </c>
      <c r="Y23" s="1" t="s">
        <v>308</v>
      </c>
      <c r="Z23" s="1" t="s">
        <v>308</v>
      </c>
      <c r="AA23" s="1" t="s">
        <v>188</v>
      </c>
      <c r="AB23" s="1" t="s">
        <v>141</v>
      </c>
      <c r="AC23" s="1" t="s">
        <v>141</v>
      </c>
      <c r="AD23" s="1" t="s">
        <v>137</v>
      </c>
      <c r="AE23" s="1" t="s">
        <v>309</v>
      </c>
      <c r="AF23" s="1" t="s">
        <v>206</v>
      </c>
      <c r="AG23" s="1" t="s">
        <v>139</v>
      </c>
      <c r="AH23" s="1" t="s">
        <v>146</v>
      </c>
      <c r="AI23" s="1" t="s">
        <v>146</v>
      </c>
      <c r="AJ23" s="1" t="s">
        <v>311</v>
      </c>
      <c r="AK23" s="1" t="s">
        <v>158</v>
      </c>
      <c r="AL23" s="1" t="s">
        <v>159</v>
      </c>
      <c r="AM23" s="1" t="s">
        <v>200</v>
      </c>
      <c r="AN23" s="1" t="s">
        <v>146</v>
      </c>
      <c r="AO23" s="1" t="s">
        <v>146</v>
      </c>
      <c r="AP23" s="1" t="s">
        <v>309</v>
      </c>
      <c r="AQ23" s="1" t="s">
        <v>312</v>
      </c>
      <c r="AR23" s="1" t="s">
        <v>159</v>
      </c>
      <c r="AS23" s="1" t="s">
        <v>317</v>
      </c>
      <c r="AT23" s="1" t="s">
        <v>314</v>
      </c>
      <c r="AU23" s="1" t="s">
        <v>315</v>
      </c>
      <c r="AV23" s="1" t="s">
        <v>195</v>
      </c>
      <c r="AW23" s="1" t="s">
        <v>158</v>
      </c>
      <c r="AX23" s="1" t="s">
        <v>157</v>
      </c>
      <c r="AY23" s="1" t="s">
        <v>206</v>
      </c>
      <c r="AZ23" s="1" t="s">
        <v>146</v>
      </c>
      <c r="BA23" s="1" t="s">
        <v>146</v>
      </c>
      <c r="BB23" s="1" t="s">
        <v>309</v>
      </c>
      <c r="BC23" s="1" t="s">
        <v>146</v>
      </c>
      <c r="BD23" s="1" t="s">
        <v>146</v>
      </c>
      <c r="BE23" s="1" t="s">
        <v>159</v>
      </c>
      <c r="BF23" s="1" t="s">
        <v>137</v>
      </c>
      <c r="BG23" s="1" t="s">
        <v>316</v>
      </c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 t="s">
        <v>161</v>
      </c>
    </row>
    <row r="24" spans="1:119" x14ac:dyDescent="0.2">
      <c r="A24" s="1" t="s">
        <v>154</v>
      </c>
      <c r="B24" s="1" t="s">
        <v>213</v>
      </c>
      <c r="C24" s="1"/>
      <c r="D24" s="1"/>
      <c r="E24" s="1"/>
      <c r="F24" s="1"/>
      <c r="G24" s="1"/>
      <c r="H24" s="1" t="s">
        <v>135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 t="s">
        <v>306</v>
      </c>
      <c r="W24" s="1" t="s">
        <v>155</v>
      </c>
      <c r="X24" s="1" t="s">
        <v>307</v>
      </c>
      <c r="Y24" s="1" t="s">
        <v>308</v>
      </c>
      <c r="Z24" s="1" t="s">
        <v>308</v>
      </c>
      <c r="AA24" s="1" t="s">
        <v>188</v>
      </c>
      <c r="AB24" s="1" t="s">
        <v>141</v>
      </c>
      <c r="AC24" s="1" t="s">
        <v>141</v>
      </c>
      <c r="AD24" s="1" t="s">
        <v>137</v>
      </c>
      <c r="AE24" s="1" t="s">
        <v>309</v>
      </c>
      <c r="AF24" s="1" t="s">
        <v>206</v>
      </c>
      <c r="AG24" s="1" t="s">
        <v>139</v>
      </c>
      <c r="AH24" s="1" t="s">
        <v>310</v>
      </c>
      <c r="AI24" s="1" t="s">
        <v>146</v>
      </c>
      <c r="AJ24" s="1" t="s">
        <v>311</v>
      </c>
      <c r="AK24" s="1" t="s">
        <v>158</v>
      </c>
      <c r="AL24" s="1" t="s">
        <v>159</v>
      </c>
      <c r="AM24" s="1" t="s">
        <v>200</v>
      </c>
      <c r="AN24" s="1" t="s">
        <v>146</v>
      </c>
      <c r="AO24" s="1" t="s">
        <v>146</v>
      </c>
      <c r="AP24" s="1" t="s">
        <v>309</v>
      </c>
      <c r="AQ24" s="1" t="s">
        <v>312</v>
      </c>
      <c r="AR24" s="1" t="s">
        <v>159</v>
      </c>
      <c r="AS24" s="1" t="s">
        <v>313</v>
      </c>
      <c r="AT24" s="1" t="s">
        <v>314</v>
      </c>
      <c r="AU24" s="1" t="s">
        <v>315</v>
      </c>
      <c r="AV24" s="1" t="s">
        <v>195</v>
      </c>
      <c r="AW24" s="1" t="s">
        <v>158</v>
      </c>
      <c r="AX24" s="1" t="s">
        <v>157</v>
      </c>
      <c r="AY24" s="1" t="s">
        <v>206</v>
      </c>
      <c r="AZ24" s="1" t="s">
        <v>146</v>
      </c>
      <c r="BA24" s="1" t="s">
        <v>146</v>
      </c>
      <c r="BB24" s="1" t="s">
        <v>309</v>
      </c>
      <c r="BC24" s="1" t="s">
        <v>146</v>
      </c>
      <c r="BD24" s="1" t="s">
        <v>146</v>
      </c>
      <c r="BE24" s="1" t="s">
        <v>159</v>
      </c>
      <c r="BF24" s="1" t="s">
        <v>137</v>
      </c>
      <c r="BG24" s="1" t="s">
        <v>316</v>
      </c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 t="s">
        <v>161</v>
      </c>
    </row>
    <row r="25" spans="1:119" x14ac:dyDescent="0.2">
      <c r="A25" s="1" t="s">
        <v>148</v>
      </c>
      <c r="B25" s="1" t="s">
        <v>214</v>
      </c>
      <c r="C25" s="1"/>
      <c r="D25" s="1"/>
      <c r="E25" s="1"/>
      <c r="F25" s="1"/>
      <c r="G25" s="1"/>
      <c r="H25" s="1" t="s">
        <v>135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 t="s">
        <v>306</v>
      </c>
      <c r="W25" s="1" t="s">
        <v>155</v>
      </c>
      <c r="X25" s="1" t="s">
        <v>307</v>
      </c>
      <c r="Y25" s="1" t="s">
        <v>308</v>
      </c>
      <c r="Z25" s="1" t="s">
        <v>308</v>
      </c>
      <c r="AA25" s="1" t="s">
        <v>188</v>
      </c>
      <c r="AB25" s="1" t="s">
        <v>141</v>
      </c>
      <c r="AC25" s="1" t="s">
        <v>141</v>
      </c>
      <c r="AD25" s="1" t="s">
        <v>137</v>
      </c>
      <c r="AE25" s="1" t="s">
        <v>309</v>
      </c>
      <c r="AF25" s="1" t="s">
        <v>206</v>
      </c>
      <c r="AG25" s="1" t="s">
        <v>139</v>
      </c>
      <c r="AH25" s="1" t="s">
        <v>310</v>
      </c>
      <c r="AI25" s="1" t="s">
        <v>146</v>
      </c>
      <c r="AJ25" s="1" t="s">
        <v>311</v>
      </c>
      <c r="AK25" s="1" t="s">
        <v>158</v>
      </c>
      <c r="AL25" s="1" t="s">
        <v>159</v>
      </c>
      <c r="AM25" s="1" t="s">
        <v>200</v>
      </c>
      <c r="AN25" s="1" t="s">
        <v>146</v>
      </c>
      <c r="AO25" s="1" t="s">
        <v>146</v>
      </c>
      <c r="AP25" s="1" t="s">
        <v>309</v>
      </c>
      <c r="AQ25" s="1" t="s">
        <v>312</v>
      </c>
      <c r="AR25" s="1" t="s">
        <v>159</v>
      </c>
      <c r="AS25" s="1" t="s">
        <v>313</v>
      </c>
      <c r="AT25" s="1" t="s">
        <v>314</v>
      </c>
      <c r="AU25" s="1" t="s">
        <v>315</v>
      </c>
      <c r="AV25" s="1" t="s">
        <v>195</v>
      </c>
      <c r="AW25" s="1" t="s">
        <v>158</v>
      </c>
      <c r="AX25" s="1" t="s">
        <v>157</v>
      </c>
      <c r="AY25" s="1" t="s">
        <v>206</v>
      </c>
      <c r="AZ25" s="1" t="s">
        <v>146</v>
      </c>
      <c r="BA25" s="1" t="s">
        <v>146</v>
      </c>
      <c r="BB25" s="1" t="s">
        <v>309</v>
      </c>
      <c r="BC25" s="1" t="s">
        <v>146</v>
      </c>
      <c r="BD25" s="1" t="s">
        <v>146</v>
      </c>
      <c r="BE25" s="1" t="s">
        <v>159</v>
      </c>
      <c r="BF25" s="1" t="s">
        <v>137</v>
      </c>
      <c r="BG25" s="1" t="s">
        <v>316</v>
      </c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 t="s">
        <v>161</v>
      </c>
    </row>
    <row r="26" spans="1:119" x14ac:dyDescent="0.2">
      <c r="A26" s="1" t="s">
        <v>155</v>
      </c>
      <c r="B26" s="1" t="s">
        <v>215</v>
      </c>
      <c r="C26" s="1"/>
      <c r="D26" s="1"/>
      <c r="E26" s="1"/>
      <c r="F26" s="1"/>
      <c r="G26" s="1"/>
      <c r="H26" s="1" t="s">
        <v>164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 t="s">
        <v>306</v>
      </c>
      <c r="W26" s="1" t="s">
        <v>155</v>
      </c>
      <c r="X26" s="1" t="s">
        <v>307</v>
      </c>
      <c r="Y26" s="1" t="s">
        <v>308</v>
      </c>
      <c r="Z26" s="1" t="s">
        <v>308</v>
      </c>
      <c r="AA26" s="1" t="s">
        <v>188</v>
      </c>
      <c r="AB26" s="1" t="s">
        <v>141</v>
      </c>
      <c r="AC26" s="1" t="s">
        <v>141</v>
      </c>
      <c r="AD26" s="1" t="s">
        <v>137</v>
      </c>
      <c r="AE26" s="1" t="s">
        <v>309</v>
      </c>
      <c r="AF26" s="1" t="s">
        <v>206</v>
      </c>
      <c r="AG26" s="1" t="s">
        <v>139</v>
      </c>
      <c r="AH26" s="1" t="s">
        <v>146</v>
      </c>
      <c r="AI26" s="1" t="s">
        <v>146</v>
      </c>
      <c r="AJ26" s="1" t="s">
        <v>311</v>
      </c>
      <c r="AK26" s="1" t="s">
        <v>158</v>
      </c>
      <c r="AL26" s="1" t="s">
        <v>159</v>
      </c>
      <c r="AM26" s="1" t="s">
        <v>200</v>
      </c>
      <c r="AN26" s="1" t="s">
        <v>146</v>
      </c>
      <c r="AO26" s="1" t="s">
        <v>146</v>
      </c>
      <c r="AP26" s="1" t="s">
        <v>309</v>
      </c>
      <c r="AQ26" s="1" t="s">
        <v>312</v>
      </c>
      <c r="AR26" s="1" t="s">
        <v>159</v>
      </c>
      <c r="AS26" s="1" t="s">
        <v>317</v>
      </c>
      <c r="AT26" s="1" t="s">
        <v>314</v>
      </c>
      <c r="AU26" s="1" t="s">
        <v>315</v>
      </c>
      <c r="AV26" s="1" t="s">
        <v>195</v>
      </c>
      <c r="AW26" s="1" t="s">
        <v>158</v>
      </c>
      <c r="AX26" s="1" t="s">
        <v>157</v>
      </c>
      <c r="AY26" s="1" t="s">
        <v>206</v>
      </c>
      <c r="AZ26" s="1" t="s">
        <v>146</v>
      </c>
      <c r="BA26" s="1" t="s">
        <v>146</v>
      </c>
      <c r="BB26" s="1" t="s">
        <v>309</v>
      </c>
      <c r="BC26" s="1" t="s">
        <v>146</v>
      </c>
      <c r="BD26" s="1" t="s">
        <v>146</v>
      </c>
      <c r="BE26" s="1" t="s">
        <v>159</v>
      </c>
      <c r="BF26" s="1" t="s">
        <v>137</v>
      </c>
      <c r="BG26" s="1" t="s">
        <v>316</v>
      </c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 t="s">
        <v>161</v>
      </c>
    </row>
    <row r="27" spans="1:119" x14ac:dyDescent="0.2">
      <c r="A27" s="1" t="s">
        <v>198</v>
      </c>
      <c r="B27" s="1" t="s">
        <v>216</v>
      </c>
      <c r="C27" s="1"/>
      <c r="D27" s="1"/>
      <c r="E27" s="1"/>
      <c r="F27" s="1"/>
      <c r="G27" s="1"/>
      <c r="H27" s="1" t="s">
        <v>135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 t="s">
        <v>306</v>
      </c>
      <c r="W27" s="1" t="s">
        <v>155</v>
      </c>
      <c r="X27" s="1" t="s">
        <v>307</v>
      </c>
      <c r="Y27" s="1" t="s">
        <v>308</v>
      </c>
      <c r="Z27" s="1" t="s">
        <v>308</v>
      </c>
      <c r="AA27" s="1" t="s">
        <v>188</v>
      </c>
      <c r="AB27" s="1" t="s">
        <v>141</v>
      </c>
      <c r="AC27" s="1" t="s">
        <v>141</v>
      </c>
      <c r="AD27" s="1" t="s">
        <v>137</v>
      </c>
      <c r="AE27" s="1" t="s">
        <v>309</v>
      </c>
      <c r="AF27" s="1" t="s">
        <v>206</v>
      </c>
      <c r="AG27" s="1" t="s">
        <v>139</v>
      </c>
      <c r="AH27" s="1" t="s">
        <v>310</v>
      </c>
      <c r="AI27" s="1" t="s">
        <v>146</v>
      </c>
      <c r="AJ27" s="1" t="s">
        <v>311</v>
      </c>
      <c r="AK27" s="1" t="s">
        <v>158</v>
      </c>
      <c r="AL27" s="1" t="s">
        <v>159</v>
      </c>
      <c r="AM27" s="1" t="s">
        <v>200</v>
      </c>
      <c r="AN27" s="1" t="s">
        <v>146</v>
      </c>
      <c r="AO27" s="1" t="s">
        <v>146</v>
      </c>
      <c r="AP27" s="1" t="s">
        <v>309</v>
      </c>
      <c r="AQ27" s="1" t="s">
        <v>312</v>
      </c>
      <c r="AR27" s="1" t="s">
        <v>159</v>
      </c>
      <c r="AS27" s="1" t="s">
        <v>313</v>
      </c>
      <c r="AT27" s="1" t="s">
        <v>314</v>
      </c>
      <c r="AU27" s="1" t="s">
        <v>315</v>
      </c>
      <c r="AV27" s="1" t="s">
        <v>195</v>
      </c>
      <c r="AW27" s="1" t="s">
        <v>158</v>
      </c>
      <c r="AX27" s="1" t="s">
        <v>157</v>
      </c>
      <c r="AY27" s="1" t="s">
        <v>206</v>
      </c>
      <c r="AZ27" s="1" t="s">
        <v>146</v>
      </c>
      <c r="BA27" s="1" t="s">
        <v>146</v>
      </c>
      <c r="BB27" s="1" t="s">
        <v>309</v>
      </c>
      <c r="BC27" s="1" t="s">
        <v>146</v>
      </c>
      <c r="BD27" s="1" t="s">
        <v>146</v>
      </c>
      <c r="BE27" s="1" t="s">
        <v>159</v>
      </c>
      <c r="BF27" s="1" t="s">
        <v>137</v>
      </c>
      <c r="BG27" s="1" t="s">
        <v>316</v>
      </c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 t="s">
        <v>161</v>
      </c>
    </row>
    <row r="28" spans="1:119" x14ac:dyDescent="0.2">
      <c r="A28" s="1" t="s">
        <v>144</v>
      </c>
      <c r="B28" s="1" t="s">
        <v>217</v>
      </c>
      <c r="C28" s="1"/>
      <c r="D28" s="1"/>
      <c r="E28" s="1"/>
      <c r="F28" s="1"/>
      <c r="G28" s="1"/>
      <c r="H28" s="1" t="s">
        <v>135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 t="s">
        <v>306</v>
      </c>
      <c r="W28" s="1" t="s">
        <v>155</v>
      </c>
      <c r="X28" s="1" t="s">
        <v>307</v>
      </c>
      <c r="Y28" s="1" t="s">
        <v>308</v>
      </c>
      <c r="Z28" s="1" t="s">
        <v>308</v>
      </c>
      <c r="AA28" s="1" t="s">
        <v>188</v>
      </c>
      <c r="AB28" s="1" t="s">
        <v>141</v>
      </c>
      <c r="AC28" s="1" t="s">
        <v>141</v>
      </c>
      <c r="AD28" s="1" t="s">
        <v>137</v>
      </c>
      <c r="AE28" s="1" t="s">
        <v>309</v>
      </c>
      <c r="AF28" s="1" t="s">
        <v>206</v>
      </c>
      <c r="AG28" s="1" t="s">
        <v>139</v>
      </c>
      <c r="AH28" s="1" t="s">
        <v>310</v>
      </c>
      <c r="AI28" s="1" t="s">
        <v>146</v>
      </c>
      <c r="AJ28" s="1" t="s">
        <v>311</v>
      </c>
      <c r="AK28" s="1" t="s">
        <v>158</v>
      </c>
      <c r="AL28" s="1" t="s">
        <v>159</v>
      </c>
      <c r="AM28" s="1" t="s">
        <v>200</v>
      </c>
      <c r="AN28" s="1" t="s">
        <v>146</v>
      </c>
      <c r="AO28" s="1" t="s">
        <v>146</v>
      </c>
      <c r="AP28" s="1" t="s">
        <v>309</v>
      </c>
      <c r="AQ28" s="1" t="s">
        <v>312</v>
      </c>
      <c r="AR28" s="1" t="s">
        <v>159</v>
      </c>
      <c r="AS28" s="1" t="s">
        <v>313</v>
      </c>
      <c r="AT28" s="1" t="s">
        <v>314</v>
      </c>
      <c r="AU28" s="1" t="s">
        <v>315</v>
      </c>
      <c r="AV28" s="1" t="s">
        <v>195</v>
      </c>
      <c r="AW28" s="1" t="s">
        <v>158</v>
      </c>
      <c r="AX28" s="1" t="s">
        <v>157</v>
      </c>
      <c r="AY28" s="1" t="s">
        <v>206</v>
      </c>
      <c r="AZ28" s="1" t="s">
        <v>146</v>
      </c>
      <c r="BA28" s="1" t="s">
        <v>146</v>
      </c>
      <c r="BB28" s="1" t="s">
        <v>309</v>
      </c>
      <c r="BC28" s="1" t="s">
        <v>146</v>
      </c>
      <c r="BD28" s="1" t="s">
        <v>146</v>
      </c>
      <c r="BE28" s="1" t="s">
        <v>159</v>
      </c>
      <c r="BF28" s="1" t="s">
        <v>137</v>
      </c>
      <c r="BG28" s="1" t="s">
        <v>316</v>
      </c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 t="s">
        <v>161</v>
      </c>
    </row>
    <row r="29" spans="1:119" x14ac:dyDescent="0.2">
      <c r="A29" s="1" t="s">
        <v>218</v>
      </c>
      <c r="B29" s="1" t="s">
        <v>219</v>
      </c>
      <c r="C29" s="1"/>
      <c r="D29" s="1"/>
      <c r="E29" s="1"/>
      <c r="F29" s="1"/>
      <c r="G29" s="1"/>
      <c r="H29" s="1" t="s">
        <v>135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 t="s">
        <v>306</v>
      </c>
      <c r="W29" s="1" t="s">
        <v>155</v>
      </c>
      <c r="X29" s="1" t="s">
        <v>307</v>
      </c>
      <c r="Y29" s="1" t="s">
        <v>308</v>
      </c>
      <c r="Z29" s="1" t="s">
        <v>308</v>
      </c>
      <c r="AA29" s="1" t="s">
        <v>188</v>
      </c>
      <c r="AB29" s="1" t="s">
        <v>141</v>
      </c>
      <c r="AC29" s="1" t="s">
        <v>141</v>
      </c>
      <c r="AD29" s="1" t="s">
        <v>137</v>
      </c>
      <c r="AE29" s="1" t="s">
        <v>309</v>
      </c>
      <c r="AF29" s="1" t="s">
        <v>206</v>
      </c>
      <c r="AG29" s="1" t="s">
        <v>139</v>
      </c>
      <c r="AH29" s="1" t="s">
        <v>310</v>
      </c>
      <c r="AI29" s="1" t="s">
        <v>146</v>
      </c>
      <c r="AJ29" s="1" t="s">
        <v>311</v>
      </c>
      <c r="AK29" s="1" t="s">
        <v>158</v>
      </c>
      <c r="AL29" s="1" t="s">
        <v>159</v>
      </c>
      <c r="AM29" s="1" t="s">
        <v>200</v>
      </c>
      <c r="AN29" s="1" t="s">
        <v>146</v>
      </c>
      <c r="AO29" s="1" t="s">
        <v>146</v>
      </c>
      <c r="AP29" s="1" t="s">
        <v>309</v>
      </c>
      <c r="AQ29" s="1" t="s">
        <v>312</v>
      </c>
      <c r="AR29" s="1" t="s">
        <v>159</v>
      </c>
      <c r="AS29" s="1" t="s">
        <v>313</v>
      </c>
      <c r="AT29" s="1" t="s">
        <v>314</v>
      </c>
      <c r="AU29" s="1" t="s">
        <v>315</v>
      </c>
      <c r="AV29" s="1" t="s">
        <v>195</v>
      </c>
      <c r="AW29" s="1" t="s">
        <v>158</v>
      </c>
      <c r="AX29" s="1" t="s">
        <v>157</v>
      </c>
      <c r="AY29" s="1" t="s">
        <v>206</v>
      </c>
      <c r="AZ29" s="1" t="s">
        <v>146</v>
      </c>
      <c r="BA29" s="1" t="s">
        <v>146</v>
      </c>
      <c r="BB29" s="1" t="s">
        <v>309</v>
      </c>
      <c r="BC29" s="1" t="s">
        <v>146</v>
      </c>
      <c r="BD29" s="1" t="s">
        <v>146</v>
      </c>
      <c r="BE29" s="1" t="s">
        <v>159</v>
      </c>
      <c r="BF29" s="1" t="s">
        <v>137</v>
      </c>
      <c r="BG29" s="1" t="s">
        <v>316</v>
      </c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 t="s">
        <v>161</v>
      </c>
    </row>
    <row r="30" spans="1:119" x14ac:dyDescent="0.2">
      <c r="A30" s="1" t="s">
        <v>220</v>
      </c>
      <c r="B30" s="1" t="s">
        <v>221</v>
      </c>
      <c r="C30" s="1"/>
      <c r="D30" s="1"/>
      <c r="E30" s="1"/>
      <c r="F30" s="1"/>
      <c r="G30" s="1"/>
      <c r="H30" s="1" t="s">
        <v>135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 t="s">
        <v>306</v>
      </c>
      <c r="W30" s="1" t="s">
        <v>155</v>
      </c>
      <c r="X30" s="1" t="s">
        <v>307</v>
      </c>
      <c r="Y30" s="1" t="s">
        <v>308</v>
      </c>
      <c r="Z30" s="1" t="s">
        <v>308</v>
      </c>
      <c r="AA30" s="1" t="s">
        <v>188</v>
      </c>
      <c r="AB30" s="1" t="s">
        <v>141</v>
      </c>
      <c r="AC30" s="1" t="s">
        <v>141</v>
      </c>
      <c r="AD30" s="1" t="s">
        <v>137</v>
      </c>
      <c r="AE30" s="1" t="s">
        <v>309</v>
      </c>
      <c r="AF30" s="1" t="s">
        <v>206</v>
      </c>
      <c r="AG30" s="1" t="s">
        <v>139</v>
      </c>
      <c r="AH30" s="1" t="s">
        <v>310</v>
      </c>
      <c r="AI30" s="1" t="s">
        <v>146</v>
      </c>
      <c r="AJ30" s="1" t="s">
        <v>311</v>
      </c>
      <c r="AK30" s="1" t="s">
        <v>158</v>
      </c>
      <c r="AL30" s="1" t="s">
        <v>159</v>
      </c>
      <c r="AM30" s="1" t="s">
        <v>200</v>
      </c>
      <c r="AN30" s="1" t="s">
        <v>146</v>
      </c>
      <c r="AO30" s="1" t="s">
        <v>146</v>
      </c>
      <c r="AP30" s="1" t="s">
        <v>309</v>
      </c>
      <c r="AQ30" s="1" t="s">
        <v>312</v>
      </c>
      <c r="AR30" s="1" t="s">
        <v>159</v>
      </c>
      <c r="AS30" s="1" t="s">
        <v>313</v>
      </c>
      <c r="AT30" s="1" t="s">
        <v>314</v>
      </c>
      <c r="AU30" s="1" t="s">
        <v>315</v>
      </c>
      <c r="AV30" s="1" t="s">
        <v>195</v>
      </c>
      <c r="AW30" s="1" t="s">
        <v>158</v>
      </c>
      <c r="AX30" s="1" t="s">
        <v>157</v>
      </c>
      <c r="AY30" s="1" t="s">
        <v>206</v>
      </c>
      <c r="AZ30" s="1" t="s">
        <v>146</v>
      </c>
      <c r="BA30" s="1" t="s">
        <v>146</v>
      </c>
      <c r="BB30" s="1" t="s">
        <v>309</v>
      </c>
      <c r="BC30" s="1" t="s">
        <v>146</v>
      </c>
      <c r="BD30" s="1" t="s">
        <v>146</v>
      </c>
      <c r="BE30" s="1" t="s">
        <v>159</v>
      </c>
      <c r="BF30" s="1" t="s">
        <v>137</v>
      </c>
      <c r="BG30" s="1" t="s">
        <v>316</v>
      </c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 t="s">
        <v>161</v>
      </c>
    </row>
    <row r="31" spans="1:119" x14ac:dyDescent="0.2">
      <c r="A31" s="1" t="s">
        <v>222</v>
      </c>
      <c r="B31" s="1" t="s">
        <v>223</v>
      </c>
      <c r="C31" s="1"/>
      <c r="D31" s="1"/>
      <c r="E31" s="1"/>
      <c r="F31" s="1"/>
      <c r="G31" s="1"/>
      <c r="H31" s="1" t="s">
        <v>135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 t="s">
        <v>306</v>
      </c>
      <c r="W31" s="1" t="s">
        <v>155</v>
      </c>
      <c r="X31" s="1" t="s">
        <v>307</v>
      </c>
      <c r="Y31" s="1" t="s">
        <v>308</v>
      </c>
      <c r="Z31" s="1" t="s">
        <v>308</v>
      </c>
      <c r="AA31" s="1" t="s">
        <v>188</v>
      </c>
      <c r="AB31" s="1" t="s">
        <v>141</v>
      </c>
      <c r="AC31" s="1" t="s">
        <v>141</v>
      </c>
      <c r="AD31" s="1" t="s">
        <v>137</v>
      </c>
      <c r="AE31" s="1" t="s">
        <v>309</v>
      </c>
      <c r="AF31" s="1" t="s">
        <v>206</v>
      </c>
      <c r="AG31" s="1" t="s">
        <v>139</v>
      </c>
      <c r="AH31" s="1" t="s">
        <v>310</v>
      </c>
      <c r="AI31" s="1" t="s">
        <v>146</v>
      </c>
      <c r="AJ31" s="1" t="s">
        <v>311</v>
      </c>
      <c r="AK31" s="1" t="s">
        <v>158</v>
      </c>
      <c r="AL31" s="1" t="s">
        <v>159</v>
      </c>
      <c r="AM31" s="1" t="s">
        <v>200</v>
      </c>
      <c r="AN31" s="1" t="s">
        <v>146</v>
      </c>
      <c r="AO31" s="1" t="s">
        <v>146</v>
      </c>
      <c r="AP31" s="1" t="s">
        <v>309</v>
      </c>
      <c r="AQ31" s="1" t="s">
        <v>312</v>
      </c>
      <c r="AR31" s="1" t="s">
        <v>159</v>
      </c>
      <c r="AS31" s="1" t="s">
        <v>313</v>
      </c>
      <c r="AT31" s="1" t="s">
        <v>314</v>
      </c>
      <c r="AU31" s="1" t="s">
        <v>315</v>
      </c>
      <c r="AV31" s="1" t="s">
        <v>195</v>
      </c>
      <c r="AW31" s="1" t="s">
        <v>158</v>
      </c>
      <c r="AX31" s="1" t="s">
        <v>157</v>
      </c>
      <c r="AY31" s="1" t="s">
        <v>206</v>
      </c>
      <c r="AZ31" s="1" t="s">
        <v>146</v>
      </c>
      <c r="BA31" s="1" t="s">
        <v>146</v>
      </c>
      <c r="BB31" s="1" t="s">
        <v>309</v>
      </c>
      <c r="BC31" s="1" t="s">
        <v>146</v>
      </c>
      <c r="BD31" s="1" t="s">
        <v>146</v>
      </c>
      <c r="BE31" s="1" t="s">
        <v>159</v>
      </c>
      <c r="BF31" s="1" t="s">
        <v>137</v>
      </c>
      <c r="BG31" s="1" t="s">
        <v>316</v>
      </c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 t="s">
        <v>161</v>
      </c>
    </row>
    <row r="32" spans="1:119" x14ac:dyDescent="0.2">
      <c r="A32" s="1" t="s">
        <v>158</v>
      </c>
      <c r="B32" s="1" t="s">
        <v>224</v>
      </c>
      <c r="C32" s="1"/>
      <c r="D32" s="1"/>
      <c r="E32" s="1"/>
      <c r="F32" s="1"/>
      <c r="G32" s="1"/>
      <c r="H32" s="1" t="s">
        <v>164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 t="s">
        <v>306</v>
      </c>
      <c r="W32" s="1" t="s">
        <v>155</v>
      </c>
      <c r="X32" s="1" t="s">
        <v>307</v>
      </c>
      <c r="Y32" s="1" t="s">
        <v>308</v>
      </c>
      <c r="Z32" s="1" t="s">
        <v>308</v>
      </c>
      <c r="AA32" s="1" t="s">
        <v>188</v>
      </c>
      <c r="AB32" s="1" t="s">
        <v>141</v>
      </c>
      <c r="AC32" s="1" t="s">
        <v>141</v>
      </c>
      <c r="AD32" s="1" t="s">
        <v>137</v>
      </c>
      <c r="AE32" s="1" t="s">
        <v>309</v>
      </c>
      <c r="AF32" s="1" t="s">
        <v>206</v>
      </c>
      <c r="AG32" s="1" t="s">
        <v>139</v>
      </c>
      <c r="AH32" s="1" t="s">
        <v>146</v>
      </c>
      <c r="AI32" s="1" t="s">
        <v>146</v>
      </c>
      <c r="AJ32" s="1" t="s">
        <v>311</v>
      </c>
      <c r="AK32" s="1" t="s">
        <v>158</v>
      </c>
      <c r="AL32" s="1" t="s">
        <v>159</v>
      </c>
      <c r="AM32" s="1" t="s">
        <v>200</v>
      </c>
      <c r="AN32" s="1" t="s">
        <v>146</v>
      </c>
      <c r="AO32" s="1" t="s">
        <v>146</v>
      </c>
      <c r="AP32" s="1" t="s">
        <v>309</v>
      </c>
      <c r="AQ32" s="1" t="s">
        <v>312</v>
      </c>
      <c r="AR32" s="1" t="s">
        <v>159</v>
      </c>
      <c r="AS32" s="1" t="s">
        <v>317</v>
      </c>
      <c r="AT32" s="1" t="s">
        <v>314</v>
      </c>
      <c r="AU32" s="1" t="s">
        <v>315</v>
      </c>
      <c r="AV32" s="1" t="s">
        <v>195</v>
      </c>
      <c r="AW32" s="1" t="s">
        <v>158</v>
      </c>
      <c r="AX32" s="1" t="s">
        <v>157</v>
      </c>
      <c r="AY32" s="1" t="s">
        <v>206</v>
      </c>
      <c r="AZ32" s="1" t="s">
        <v>146</v>
      </c>
      <c r="BA32" s="1" t="s">
        <v>146</v>
      </c>
      <c r="BB32" s="1" t="s">
        <v>309</v>
      </c>
      <c r="BC32" s="1" t="s">
        <v>146</v>
      </c>
      <c r="BD32" s="1" t="s">
        <v>146</v>
      </c>
      <c r="BE32" s="1" t="s">
        <v>159</v>
      </c>
      <c r="BF32" s="1" t="s">
        <v>137</v>
      </c>
      <c r="BG32" s="1" t="s">
        <v>316</v>
      </c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">
        <v>161</v>
      </c>
    </row>
    <row r="33" spans="1:119" x14ac:dyDescent="0.2">
      <c r="A33" s="1" t="s">
        <v>225</v>
      </c>
      <c r="B33" s="1" t="s">
        <v>226</v>
      </c>
      <c r="C33" s="1"/>
      <c r="D33" s="1"/>
      <c r="E33" s="1"/>
      <c r="F33" s="1"/>
      <c r="G33" s="1"/>
      <c r="H33" s="1" t="s">
        <v>164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 t="s">
        <v>306</v>
      </c>
      <c r="W33" s="1" t="s">
        <v>155</v>
      </c>
      <c r="X33" s="1" t="s">
        <v>307</v>
      </c>
      <c r="Y33" s="1" t="s">
        <v>308</v>
      </c>
      <c r="Z33" s="1" t="s">
        <v>308</v>
      </c>
      <c r="AA33" s="1" t="s">
        <v>188</v>
      </c>
      <c r="AB33" s="1" t="s">
        <v>141</v>
      </c>
      <c r="AC33" s="1" t="s">
        <v>141</v>
      </c>
      <c r="AD33" s="1" t="s">
        <v>137</v>
      </c>
      <c r="AE33" s="1" t="s">
        <v>309</v>
      </c>
      <c r="AF33" s="1" t="s">
        <v>206</v>
      </c>
      <c r="AG33" s="1" t="s">
        <v>139</v>
      </c>
      <c r="AH33" s="1" t="s">
        <v>146</v>
      </c>
      <c r="AI33" s="1" t="s">
        <v>146</v>
      </c>
      <c r="AJ33" s="1" t="s">
        <v>311</v>
      </c>
      <c r="AK33" s="1" t="s">
        <v>158</v>
      </c>
      <c r="AL33" s="1" t="s">
        <v>159</v>
      </c>
      <c r="AM33" s="1" t="s">
        <v>200</v>
      </c>
      <c r="AN33" s="1" t="s">
        <v>146</v>
      </c>
      <c r="AO33" s="1" t="s">
        <v>146</v>
      </c>
      <c r="AP33" s="1" t="s">
        <v>309</v>
      </c>
      <c r="AQ33" s="1" t="s">
        <v>312</v>
      </c>
      <c r="AR33" s="1" t="s">
        <v>159</v>
      </c>
      <c r="AS33" s="1" t="s">
        <v>317</v>
      </c>
      <c r="AT33" s="1" t="s">
        <v>314</v>
      </c>
      <c r="AU33" s="1" t="s">
        <v>315</v>
      </c>
      <c r="AV33" s="1" t="s">
        <v>195</v>
      </c>
      <c r="AW33" s="1" t="s">
        <v>158</v>
      </c>
      <c r="AX33" s="1" t="s">
        <v>157</v>
      </c>
      <c r="AY33" s="1" t="s">
        <v>206</v>
      </c>
      <c r="AZ33" s="1" t="s">
        <v>146</v>
      </c>
      <c r="BA33" s="1" t="s">
        <v>146</v>
      </c>
      <c r="BB33" s="1" t="s">
        <v>309</v>
      </c>
      <c r="BC33" s="1" t="s">
        <v>146</v>
      </c>
      <c r="BD33" s="1" t="s">
        <v>146</v>
      </c>
      <c r="BE33" s="1" t="s">
        <v>159</v>
      </c>
      <c r="BF33" s="1" t="s">
        <v>137</v>
      </c>
      <c r="BG33" s="1" t="s">
        <v>316</v>
      </c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">
        <v>161</v>
      </c>
    </row>
    <row r="34" spans="1:119" s="14" customFormat="1" x14ac:dyDescent="0.2">
      <c r="A34" s="13" t="s">
        <v>199</v>
      </c>
      <c r="B34" s="13" t="s">
        <v>227</v>
      </c>
      <c r="C34" s="13"/>
      <c r="D34" s="13"/>
      <c r="E34" s="13"/>
      <c r="F34" s="13"/>
      <c r="G34" s="13"/>
      <c r="H34" s="13" t="s">
        <v>135</v>
      </c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 t="s">
        <v>306</v>
      </c>
      <c r="W34" s="13" t="s">
        <v>155</v>
      </c>
      <c r="X34" s="13" t="s">
        <v>307</v>
      </c>
      <c r="Y34" s="13" t="s">
        <v>308</v>
      </c>
      <c r="Z34" s="13" t="s">
        <v>308</v>
      </c>
      <c r="AA34" s="13" t="s">
        <v>188</v>
      </c>
      <c r="AB34" s="13" t="s">
        <v>141</v>
      </c>
      <c r="AC34" s="13" t="s">
        <v>141</v>
      </c>
      <c r="AD34" s="13" t="s">
        <v>137</v>
      </c>
      <c r="AE34" s="13" t="s">
        <v>309</v>
      </c>
      <c r="AF34" s="13" t="s">
        <v>206</v>
      </c>
      <c r="AG34" s="13" t="s">
        <v>139</v>
      </c>
      <c r="AH34" s="13" t="s">
        <v>310</v>
      </c>
      <c r="AI34" s="13" t="s">
        <v>146</v>
      </c>
      <c r="AJ34" s="13" t="s">
        <v>311</v>
      </c>
      <c r="AK34" s="13" t="s">
        <v>158</v>
      </c>
      <c r="AL34" s="13" t="s">
        <v>159</v>
      </c>
      <c r="AM34" s="13" t="s">
        <v>200</v>
      </c>
      <c r="AN34" s="13" t="s">
        <v>146</v>
      </c>
      <c r="AO34" s="13" t="s">
        <v>146</v>
      </c>
      <c r="AP34" s="13" t="s">
        <v>309</v>
      </c>
      <c r="AQ34" s="13" t="s">
        <v>312</v>
      </c>
      <c r="AR34" s="13" t="s">
        <v>159</v>
      </c>
      <c r="AS34" s="13" t="s">
        <v>313</v>
      </c>
      <c r="AT34" s="13" t="s">
        <v>314</v>
      </c>
      <c r="AU34" s="13" t="s">
        <v>315</v>
      </c>
      <c r="AV34" s="13" t="s">
        <v>195</v>
      </c>
      <c r="AW34" s="13" t="s">
        <v>158</v>
      </c>
      <c r="AX34" s="13" t="s">
        <v>157</v>
      </c>
      <c r="AY34" s="13" t="s">
        <v>206</v>
      </c>
      <c r="AZ34" s="13" t="s">
        <v>146</v>
      </c>
      <c r="BA34" s="13" t="s">
        <v>146</v>
      </c>
      <c r="BB34" s="13" t="s">
        <v>309</v>
      </c>
      <c r="BC34" s="13" t="s">
        <v>146</v>
      </c>
      <c r="BD34" s="13" t="s">
        <v>146</v>
      </c>
      <c r="BE34" s="13" t="s">
        <v>159</v>
      </c>
      <c r="BF34" s="13" t="s">
        <v>137</v>
      </c>
      <c r="BG34" s="13" t="s">
        <v>316</v>
      </c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 t="s">
        <v>161</v>
      </c>
    </row>
    <row r="35" spans="1:119" x14ac:dyDescent="0.2">
      <c r="A35" s="1" t="s">
        <v>156</v>
      </c>
      <c r="B35" s="1" t="s">
        <v>228</v>
      </c>
      <c r="C35" s="1"/>
      <c r="D35" s="1"/>
      <c r="E35" s="1"/>
      <c r="F35" s="1"/>
      <c r="G35" s="1"/>
      <c r="H35" s="1" t="s">
        <v>135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 t="s">
        <v>306</v>
      </c>
      <c r="W35" s="1" t="s">
        <v>155</v>
      </c>
      <c r="X35" s="1" t="s">
        <v>307</v>
      </c>
      <c r="Y35" s="1" t="s">
        <v>308</v>
      </c>
      <c r="Z35" s="1" t="s">
        <v>308</v>
      </c>
      <c r="AA35" s="1" t="s">
        <v>188</v>
      </c>
      <c r="AB35" s="1" t="s">
        <v>141</v>
      </c>
      <c r="AC35" s="1" t="s">
        <v>141</v>
      </c>
      <c r="AD35" s="1" t="s">
        <v>137</v>
      </c>
      <c r="AE35" s="1" t="s">
        <v>309</v>
      </c>
      <c r="AF35" s="1" t="s">
        <v>206</v>
      </c>
      <c r="AG35" s="1" t="s">
        <v>139</v>
      </c>
      <c r="AH35" s="1" t="s">
        <v>310</v>
      </c>
      <c r="AI35" s="1" t="s">
        <v>146</v>
      </c>
      <c r="AJ35" s="1" t="s">
        <v>311</v>
      </c>
      <c r="AK35" s="1" t="s">
        <v>158</v>
      </c>
      <c r="AL35" s="1" t="s">
        <v>159</v>
      </c>
      <c r="AM35" s="1" t="s">
        <v>200</v>
      </c>
      <c r="AN35" s="1" t="s">
        <v>146</v>
      </c>
      <c r="AO35" s="1" t="s">
        <v>146</v>
      </c>
      <c r="AP35" s="1" t="s">
        <v>309</v>
      </c>
      <c r="AQ35" s="1" t="s">
        <v>312</v>
      </c>
      <c r="AR35" s="1" t="s">
        <v>159</v>
      </c>
      <c r="AS35" s="1" t="s">
        <v>313</v>
      </c>
      <c r="AT35" s="1" t="s">
        <v>314</v>
      </c>
      <c r="AU35" s="1" t="s">
        <v>315</v>
      </c>
      <c r="AV35" s="1" t="s">
        <v>195</v>
      </c>
      <c r="AW35" s="1" t="s">
        <v>158</v>
      </c>
      <c r="AX35" s="1" t="s">
        <v>157</v>
      </c>
      <c r="AY35" s="1" t="s">
        <v>206</v>
      </c>
      <c r="AZ35" s="1" t="s">
        <v>146</v>
      </c>
      <c r="BA35" s="1" t="s">
        <v>146</v>
      </c>
      <c r="BB35" s="1" t="s">
        <v>309</v>
      </c>
      <c r="BC35" s="1" t="s">
        <v>146</v>
      </c>
      <c r="BD35" s="1" t="s">
        <v>146</v>
      </c>
      <c r="BE35" s="1" t="s">
        <v>159</v>
      </c>
      <c r="BF35" s="1" t="s">
        <v>137</v>
      </c>
      <c r="BG35" s="1" t="s">
        <v>316</v>
      </c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">
        <v>161</v>
      </c>
    </row>
    <row r="36" spans="1:119" x14ac:dyDescent="0.2">
      <c r="A36" s="1" t="s">
        <v>229</v>
      </c>
      <c r="B36" s="1" t="s">
        <v>230</v>
      </c>
      <c r="C36" s="1"/>
      <c r="D36" s="1"/>
      <c r="E36" s="1"/>
      <c r="F36" s="1"/>
      <c r="G36" s="1"/>
      <c r="H36" s="1" t="s">
        <v>135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 t="s">
        <v>306</v>
      </c>
      <c r="W36" s="1" t="s">
        <v>155</v>
      </c>
      <c r="X36" s="1" t="s">
        <v>307</v>
      </c>
      <c r="Y36" s="1" t="s">
        <v>308</v>
      </c>
      <c r="Z36" s="1" t="s">
        <v>308</v>
      </c>
      <c r="AA36" s="1" t="s">
        <v>188</v>
      </c>
      <c r="AB36" s="1" t="s">
        <v>141</v>
      </c>
      <c r="AC36" s="1" t="s">
        <v>141</v>
      </c>
      <c r="AD36" s="1" t="s">
        <v>137</v>
      </c>
      <c r="AE36" s="1" t="s">
        <v>309</v>
      </c>
      <c r="AF36" s="1" t="s">
        <v>206</v>
      </c>
      <c r="AG36" s="1" t="s">
        <v>139</v>
      </c>
      <c r="AH36" s="1" t="s">
        <v>310</v>
      </c>
      <c r="AI36" s="1" t="s">
        <v>146</v>
      </c>
      <c r="AJ36" s="1" t="s">
        <v>311</v>
      </c>
      <c r="AK36" s="1" t="s">
        <v>158</v>
      </c>
      <c r="AL36" s="1" t="s">
        <v>159</v>
      </c>
      <c r="AM36" s="1" t="s">
        <v>200</v>
      </c>
      <c r="AN36" s="1" t="s">
        <v>146</v>
      </c>
      <c r="AO36" s="1" t="s">
        <v>146</v>
      </c>
      <c r="AP36" s="1" t="s">
        <v>309</v>
      </c>
      <c r="AQ36" s="1" t="s">
        <v>312</v>
      </c>
      <c r="AR36" s="1" t="s">
        <v>159</v>
      </c>
      <c r="AS36" s="1" t="s">
        <v>313</v>
      </c>
      <c r="AT36" s="1" t="s">
        <v>314</v>
      </c>
      <c r="AU36" s="1" t="s">
        <v>315</v>
      </c>
      <c r="AV36" s="1" t="s">
        <v>195</v>
      </c>
      <c r="AW36" s="1" t="s">
        <v>158</v>
      </c>
      <c r="AX36" s="1" t="s">
        <v>157</v>
      </c>
      <c r="AY36" s="1" t="s">
        <v>206</v>
      </c>
      <c r="AZ36" s="1" t="s">
        <v>146</v>
      </c>
      <c r="BA36" s="1" t="s">
        <v>146</v>
      </c>
      <c r="BB36" s="1" t="s">
        <v>309</v>
      </c>
      <c r="BC36" s="1" t="s">
        <v>146</v>
      </c>
      <c r="BD36" s="1" t="s">
        <v>146</v>
      </c>
      <c r="BE36" s="1" t="s">
        <v>159</v>
      </c>
      <c r="BF36" s="1" t="s">
        <v>137</v>
      </c>
      <c r="BG36" s="1" t="s">
        <v>316</v>
      </c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">
        <v>161</v>
      </c>
    </row>
    <row r="37" spans="1:119" x14ac:dyDescent="0.2">
      <c r="A37" s="1" t="s">
        <v>231</v>
      </c>
      <c r="B37" s="1" t="s">
        <v>232</v>
      </c>
      <c r="C37" s="1"/>
      <c r="D37" s="1"/>
      <c r="E37" s="1"/>
      <c r="F37" s="1"/>
      <c r="G37" s="1"/>
      <c r="H37" s="1" t="s">
        <v>135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 t="s">
        <v>306</v>
      </c>
      <c r="W37" s="1" t="s">
        <v>155</v>
      </c>
      <c r="X37" s="1" t="s">
        <v>307</v>
      </c>
      <c r="Y37" s="1" t="s">
        <v>308</v>
      </c>
      <c r="Z37" s="1" t="s">
        <v>308</v>
      </c>
      <c r="AA37" s="1" t="s">
        <v>188</v>
      </c>
      <c r="AB37" s="1" t="s">
        <v>141</v>
      </c>
      <c r="AC37" s="1" t="s">
        <v>141</v>
      </c>
      <c r="AD37" s="1" t="s">
        <v>137</v>
      </c>
      <c r="AE37" s="1" t="s">
        <v>309</v>
      </c>
      <c r="AF37" s="1" t="s">
        <v>206</v>
      </c>
      <c r="AG37" s="1" t="s">
        <v>139</v>
      </c>
      <c r="AH37" s="1" t="s">
        <v>310</v>
      </c>
      <c r="AI37" s="1" t="s">
        <v>146</v>
      </c>
      <c r="AJ37" s="1" t="s">
        <v>311</v>
      </c>
      <c r="AK37" s="1" t="s">
        <v>158</v>
      </c>
      <c r="AL37" s="1" t="s">
        <v>159</v>
      </c>
      <c r="AM37" s="1" t="s">
        <v>200</v>
      </c>
      <c r="AN37" s="1" t="s">
        <v>146</v>
      </c>
      <c r="AO37" s="1" t="s">
        <v>146</v>
      </c>
      <c r="AP37" s="1" t="s">
        <v>309</v>
      </c>
      <c r="AQ37" s="1" t="s">
        <v>312</v>
      </c>
      <c r="AR37" s="1" t="s">
        <v>159</v>
      </c>
      <c r="AS37" s="1" t="s">
        <v>313</v>
      </c>
      <c r="AT37" s="1" t="s">
        <v>314</v>
      </c>
      <c r="AU37" s="1" t="s">
        <v>315</v>
      </c>
      <c r="AV37" s="1" t="s">
        <v>195</v>
      </c>
      <c r="AW37" s="1" t="s">
        <v>158</v>
      </c>
      <c r="AX37" s="1" t="s">
        <v>157</v>
      </c>
      <c r="AY37" s="1" t="s">
        <v>206</v>
      </c>
      <c r="AZ37" s="1" t="s">
        <v>146</v>
      </c>
      <c r="BA37" s="1" t="s">
        <v>146</v>
      </c>
      <c r="BB37" s="1" t="s">
        <v>309</v>
      </c>
      <c r="BC37" s="1" t="s">
        <v>146</v>
      </c>
      <c r="BD37" s="1" t="s">
        <v>146</v>
      </c>
      <c r="BE37" s="1" t="s">
        <v>159</v>
      </c>
      <c r="BF37" s="1" t="s">
        <v>137</v>
      </c>
      <c r="BG37" s="1" t="s">
        <v>316</v>
      </c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">
        <v>161</v>
      </c>
    </row>
    <row r="38" spans="1:119" x14ac:dyDescent="0.2">
      <c r="A38" s="1" t="s">
        <v>233</v>
      </c>
      <c r="B38" s="1" t="s">
        <v>234</v>
      </c>
      <c r="C38" s="1"/>
      <c r="D38" s="1"/>
      <c r="E38" s="1"/>
      <c r="F38" s="1"/>
      <c r="G38" s="1"/>
      <c r="H38" s="1" t="s">
        <v>205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 t="s">
        <v>318</v>
      </c>
      <c r="W38" s="1" t="s">
        <v>144</v>
      </c>
      <c r="X38" s="1" t="s">
        <v>319</v>
      </c>
      <c r="Y38" s="1" t="s">
        <v>150</v>
      </c>
      <c r="Z38" s="1" t="s">
        <v>308</v>
      </c>
      <c r="AA38" s="1" t="s">
        <v>160</v>
      </c>
      <c r="AB38" s="1" t="s">
        <v>137</v>
      </c>
      <c r="AC38" s="1" t="s">
        <v>137</v>
      </c>
      <c r="AD38" s="1" t="s">
        <v>137</v>
      </c>
      <c r="AE38" s="1" t="s">
        <v>188</v>
      </c>
      <c r="AF38" s="1" t="s">
        <v>206</v>
      </c>
      <c r="AG38" s="1" t="s">
        <v>139</v>
      </c>
      <c r="AH38" s="1" t="s">
        <v>310</v>
      </c>
      <c r="AI38" s="1" t="s">
        <v>146</v>
      </c>
      <c r="AJ38" s="1" t="s">
        <v>195</v>
      </c>
      <c r="AK38" s="1" t="s">
        <v>143</v>
      </c>
      <c r="AL38" s="1" t="s">
        <v>211</v>
      </c>
      <c r="AM38" s="1" t="s">
        <v>144</v>
      </c>
      <c r="AN38" s="1" t="s">
        <v>147</v>
      </c>
      <c r="AO38" s="1" t="s">
        <v>146</v>
      </c>
      <c r="AP38" s="1" t="s">
        <v>309</v>
      </c>
      <c r="AQ38" s="1" t="s">
        <v>146</v>
      </c>
      <c r="AR38" s="1" t="s">
        <v>146</v>
      </c>
      <c r="AS38" s="1" t="s">
        <v>159</v>
      </c>
      <c r="AT38" s="1" t="s">
        <v>137</v>
      </c>
      <c r="AU38" s="1" t="s">
        <v>316</v>
      </c>
      <c r="AV38" s="1" t="s">
        <v>311</v>
      </c>
      <c r="AW38" s="1" t="s">
        <v>156</v>
      </c>
      <c r="AX38" s="1" t="s">
        <v>159</v>
      </c>
      <c r="AY38" s="1" t="s">
        <v>143</v>
      </c>
      <c r="AZ38" s="1" t="s">
        <v>146</v>
      </c>
      <c r="BA38" s="1" t="s">
        <v>146</v>
      </c>
      <c r="BB38" s="1" t="s">
        <v>309</v>
      </c>
      <c r="BC38" s="1" t="s">
        <v>320</v>
      </c>
      <c r="BD38" s="1" t="s">
        <v>159</v>
      </c>
      <c r="BE38" s="1" t="s">
        <v>321</v>
      </c>
      <c r="BF38" s="1" t="s">
        <v>322</v>
      </c>
      <c r="BG38" s="1" t="s">
        <v>315</v>
      </c>
      <c r="BH38" s="1" t="s">
        <v>195</v>
      </c>
      <c r="BI38" s="1" t="s">
        <v>143</v>
      </c>
      <c r="BJ38" s="1" t="s">
        <v>158</v>
      </c>
      <c r="BK38" s="1" t="s">
        <v>156</v>
      </c>
      <c r="BL38" s="1" t="s">
        <v>146</v>
      </c>
      <c r="BM38" s="1" t="s">
        <v>146</v>
      </c>
      <c r="BN38" s="1" t="s">
        <v>309</v>
      </c>
      <c r="BO38" s="1" t="s">
        <v>146</v>
      </c>
      <c r="BP38" s="1" t="s">
        <v>146</v>
      </c>
      <c r="BQ38" s="1" t="s">
        <v>159</v>
      </c>
      <c r="BR38" s="1" t="s">
        <v>137</v>
      </c>
      <c r="BS38" s="1" t="s">
        <v>316</v>
      </c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">
        <v>161</v>
      </c>
    </row>
    <row r="39" spans="1:119" x14ac:dyDescent="0.2">
      <c r="A39" s="1" t="s">
        <v>235</v>
      </c>
      <c r="B39" s="1" t="s">
        <v>236</v>
      </c>
      <c r="C39" s="1"/>
      <c r="D39" s="1"/>
      <c r="E39" s="1"/>
      <c r="F39" s="1"/>
      <c r="G39" s="1"/>
      <c r="H39" s="1" t="s">
        <v>135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 t="s">
        <v>306</v>
      </c>
      <c r="W39" s="1" t="s">
        <v>155</v>
      </c>
      <c r="X39" s="1" t="s">
        <v>307</v>
      </c>
      <c r="Y39" s="1" t="s">
        <v>308</v>
      </c>
      <c r="Z39" s="1" t="s">
        <v>308</v>
      </c>
      <c r="AA39" s="1" t="s">
        <v>188</v>
      </c>
      <c r="AB39" s="1" t="s">
        <v>141</v>
      </c>
      <c r="AC39" s="1" t="s">
        <v>141</v>
      </c>
      <c r="AD39" s="1" t="s">
        <v>137</v>
      </c>
      <c r="AE39" s="1" t="s">
        <v>309</v>
      </c>
      <c r="AF39" s="1" t="s">
        <v>206</v>
      </c>
      <c r="AG39" s="1" t="s">
        <v>139</v>
      </c>
      <c r="AH39" s="1" t="s">
        <v>310</v>
      </c>
      <c r="AI39" s="1" t="s">
        <v>146</v>
      </c>
      <c r="AJ39" s="1" t="s">
        <v>311</v>
      </c>
      <c r="AK39" s="1" t="s">
        <v>158</v>
      </c>
      <c r="AL39" s="1" t="s">
        <v>159</v>
      </c>
      <c r="AM39" s="1" t="s">
        <v>200</v>
      </c>
      <c r="AN39" s="1" t="s">
        <v>146</v>
      </c>
      <c r="AO39" s="1" t="s">
        <v>146</v>
      </c>
      <c r="AP39" s="1" t="s">
        <v>309</v>
      </c>
      <c r="AQ39" s="1" t="s">
        <v>312</v>
      </c>
      <c r="AR39" s="1" t="s">
        <v>159</v>
      </c>
      <c r="AS39" s="1" t="s">
        <v>313</v>
      </c>
      <c r="AT39" s="1" t="s">
        <v>314</v>
      </c>
      <c r="AU39" s="1" t="s">
        <v>315</v>
      </c>
      <c r="AV39" s="1" t="s">
        <v>195</v>
      </c>
      <c r="AW39" s="1" t="s">
        <v>158</v>
      </c>
      <c r="AX39" s="1" t="s">
        <v>157</v>
      </c>
      <c r="AY39" s="1" t="s">
        <v>206</v>
      </c>
      <c r="AZ39" s="1" t="s">
        <v>146</v>
      </c>
      <c r="BA39" s="1" t="s">
        <v>146</v>
      </c>
      <c r="BB39" s="1" t="s">
        <v>309</v>
      </c>
      <c r="BC39" s="1" t="s">
        <v>146</v>
      </c>
      <c r="BD39" s="1" t="s">
        <v>146</v>
      </c>
      <c r="BE39" s="1" t="s">
        <v>159</v>
      </c>
      <c r="BF39" s="1" t="s">
        <v>137</v>
      </c>
      <c r="BG39" s="1" t="s">
        <v>316</v>
      </c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">
        <v>161</v>
      </c>
    </row>
    <row r="40" spans="1:119" x14ac:dyDescent="0.2">
      <c r="A40" s="1" t="s">
        <v>237</v>
      </c>
      <c r="B40" s="1" t="s">
        <v>238</v>
      </c>
      <c r="C40" s="1"/>
      <c r="D40" s="1"/>
      <c r="E40" s="1"/>
      <c r="F40" s="1"/>
      <c r="G40" s="1"/>
      <c r="H40" s="1" t="s">
        <v>135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 t="s">
        <v>306</v>
      </c>
      <c r="W40" s="1" t="s">
        <v>155</v>
      </c>
      <c r="X40" s="1" t="s">
        <v>307</v>
      </c>
      <c r="Y40" s="1" t="s">
        <v>308</v>
      </c>
      <c r="Z40" s="1" t="s">
        <v>308</v>
      </c>
      <c r="AA40" s="1" t="s">
        <v>188</v>
      </c>
      <c r="AB40" s="1" t="s">
        <v>141</v>
      </c>
      <c r="AC40" s="1" t="s">
        <v>141</v>
      </c>
      <c r="AD40" s="1" t="s">
        <v>137</v>
      </c>
      <c r="AE40" s="1" t="s">
        <v>309</v>
      </c>
      <c r="AF40" s="1" t="s">
        <v>206</v>
      </c>
      <c r="AG40" s="1" t="s">
        <v>139</v>
      </c>
      <c r="AH40" s="1" t="s">
        <v>310</v>
      </c>
      <c r="AI40" s="1" t="s">
        <v>146</v>
      </c>
      <c r="AJ40" s="1" t="s">
        <v>311</v>
      </c>
      <c r="AK40" s="1" t="s">
        <v>158</v>
      </c>
      <c r="AL40" s="1" t="s">
        <v>159</v>
      </c>
      <c r="AM40" s="1" t="s">
        <v>200</v>
      </c>
      <c r="AN40" s="1" t="s">
        <v>146</v>
      </c>
      <c r="AO40" s="1" t="s">
        <v>146</v>
      </c>
      <c r="AP40" s="1" t="s">
        <v>309</v>
      </c>
      <c r="AQ40" s="1" t="s">
        <v>312</v>
      </c>
      <c r="AR40" s="1" t="s">
        <v>159</v>
      </c>
      <c r="AS40" s="1" t="s">
        <v>313</v>
      </c>
      <c r="AT40" s="1" t="s">
        <v>314</v>
      </c>
      <c r="AU40" s="1" t="s">
        <v>315</v>
      </c>
      <c r="AV40" s="1" t="s">
        <v>195</v>
      </c>
      <c r="AW40" s="1" t="s">
        <v>158</v>
      </c>
      <c r="AX40" s="1" t="s">
        <v>157</v>
      </c>
      <c r="AY40" s="1" t="s">
        <v>206</v>
      </c>
      <c r="AZ40" s="1" t="s">
        <v>146</v>
      </c>
      <c r="BA40" s="1" t="s">
        <v>146</v>
      </c>
      <c r="BB40" s="1" t="s">
        <v>309</v>
      </c>
      <c r="BC40" s="1" t="s">
        <v>146</v>
      </c>
      <c r="BD40" s="1" t="s">
        <v>146</v>
      </c>
      <c r="BE40" s="1" t="s">
        <v>159</v>
      </c>
      <c r="BF40" s="1" t="s">
        <v>137</v>
      </c>
      <c r="BG40" s="1" t="s">
        <v>316</v>
      </c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">
        <v>161</v>
      </c>
    </row>
    <row r="41" spans="1:119" x14ac:dyDescent="0.2">
      <c r="A41" s="1" t="s">
        <v>239</v>
      </c>
      <c r="B41" s="1" t="s">
        <v>240</v>
      </c>
      <c r="C41" s="1"/>
      <c r="D41" s="1"/>
      <c r="E41" s="1"/>
      <c r="F41" s="1"/>
      <c r="G41" s="1"/>
      <c r="H41" s="1" t="s">
        <v>164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 t="s">
        <v>306</v>
      </c>
      <c r="W41" s="1" t="s">
        <v>155</v>
      </c>
      <c r="X41" s="1" t="s">
        <v>307</v>
      </c>
      <c r="Y41" s="1" t="s">
        <v>308</v>
      </c>
      <c r="Z41" s="1" t="s">
        <v>308</v>
      </c>
      <c r="AA41" s="1" t="s">
        <v>188</v>
      </c>
      <c r="AB41" s="1" t="s">
        <v>141</v>
      </c>
      <c r="AC41" s="1" t="s">
        <v>141</v>
      </c>
      <c r="AD41" s="1" t="s">
        <v>137</v>
      </c>
      <c r="AE41" s="1" t="s">
        <v>309</v>
      </c>
      <c r="AF41" s="1" t="s">
        <v>206</v>
      </c>
      <c r="AG41" s="1" t="s">
        <v>139</v>
      </c>
      <c r="AH41" s="1" t="s">
        <v>146</v>
      </c>
      <c r="AI41" s="1" t="s">
        <v>146</v>
      </c>
      <c r="AJ41" s="1" t="s">
        <v>311</v>
      </c>
      <c r="AK41" s="1" t="s">
        <v>158</v>
      </c>
      <c r="AL41" s="1" t="s">
        <v>159</v>
      </c>
      <c r="AM41" s="1" t="s">
        <v>200</v>
      </c>
      <c r="AN41" s="1" t="s">
        <v>146</v>
      </c>
      <c r="AO41" s="1" t="s">
        <v>146</v>
      </c>
      <c r="AP41" s="1" t="s">
        <v>309</v>
      </c>
      <c r="AQ41" s="1" t="s">
        <v>312</v>
      </c>
      <c r="AR41" s="1" t="s">
        <v>159</v>
      </c>
      <c r="AS41" s="1" t="s">
        <v>317</v>
      </c>
      <c r="AT41" s="1" t="s">
        <v>314</v>
      </c>
      <c r="AU41" s="1" t="s">
        <v>315</v>
      </c>
      <c r="AV41" s="1" t="s">
        <v>195</v>
      </c>
      <c r="AW41" s="1" t="s">
        <v>158</v>
      </c>
      <c r="AX41" s="1" t="s">
        <v>157</v>
      </c>
      <c r="AY41" s="1" t="s">
        <v>206</v>
      </c>
      <c r="AZ41" s="1" t="s">
        <v>146</v>
      </c>
      <c r="BA41" s="1" t="s">
        <v>146</v>
      </c>
      <c r="BB41" s="1" t="s">
        <v>309</v>
      </c>
      <c r="BC41" s="1" t="s">
        <v>146</v>
      </c>
      <c r="BD41" s="1" t="s">
        <v>146</v>
      </c>
      <c r="BE41" s="1" t="s">
        <v>159</v>
      </c>
      <c r="BF41" s="1" t="s">
        <v>137</v>
      </c>
      <c r="BG41" s="1" t="s">
        <v>316</v>
      </c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">
        <v>161</v>
      </c>
    </row>
    <row r="42" spans="1:119" x14ac:dyDescent="0.2">
      <c r="A42" s="1" t="s">
        <v>147</v>
      </c>
      <c r="B42" s="1" t="s">
        <v>241</v>
      </c>
      <c r="C42" s="1"/>
      <c r="D42" s="1"/>
      <c r="E42" s="1"/>
      <c r="F42" s="1"/>
      <c r="G42" s="1"/>
      <c r="H42" s="1" t="s">
        <v>164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 t="s">
        <v>306</v>
      </c>
      <c r="W42" s="1" t="s">
        <v>155</v>
      </c>
      <c r="X42" s="1" t="s">
        <v>307</v>
      </c>
      <c r="Y42" s="1" t="s">
        <v>308</v>
      </c>
      <c r="Z42" s="1" t="s">
        <v>308</v>
      </c>
      <c r="AA42" s="1" t="s">
        <v>188</v>
      </c>
      <c r="AB42" s="1" t="s">
        <v>141</v>
      </c>
      <c r="AC42" s="1" t="s">
        <v>141</v>
      </c>
      <c r="AD42" s="1" t="s">
        <v>137</v>
      </c>
      <c r="AE42" s="1" t="s">
        <v>309</v>
      </c>
      <c r="AF42" s="1" t="s">
        <v>206</v>
      </c>
      <c r="AG42" s="1" t="s">
        <v>139</v>
      </c>
      <c r="AH42" s="1" t="s">
        <v>146</v>
      </c>
      <c r="AI42" s="1" t="s">
        <v>146</v>
      </c>
      <c r="AJ42" s="1" t="s">
        <v>311</v>
      </c>
      <c r="AK42" s="1" t="s">
        <v>158</v>
      </c>
      <c r="AL42" s="1" t="s">
        <v>159</v>
      </c>
      <c r="AM42" s="1" t="s">
        <v>200</v>
      </c>
      <c r="AN42" s="1" t="s">
        <v>146</v>
      </c>
      <c r="AO42" s="1" t="s">
        <v>146</v>
      </c>
      <c r="AP42" s="1" t="s">
        <v>309</v>
      </c>
      <c r="AQ42" s="1" t="s">
        <v>312</v>
      </c>
      <c r="AR42" s="1" t="s">
        <v>159</v>
      </c>
      <c r="AS42" s="1" t="s">
        <v>317</v>
      </c>
      <c r="AT42" s="1" t="s">
        <v>314</v>
      </c>
      <c r="AU42" s="1" t="s">
        <v>315</v>
      </c>
      <c r="AV42" s="1" t="s">
        <v>195</v>
      </c>
      <c r="AW42" s="1" t="s">
        <v>158</v>
      </c>
      <c r="AX42" s="1" t="s">
        <v>157</v>
      </c>
      <c r="AY42" s="1" t="s">
        <v>206</v>
      </c>
      <c r="AZ42" s="1" t="s">
        <v>146</v>
      </c>
      <c r="BA42" s="1" t="s">
        <v>146</v>
      </c>
      <c r="BB42" s="1" t="s">
        <v>309</v>
      </c>
      <c r="BC42" s="1" t="s">
        <v>146</v>
      </c>
      <c r="BD42" s="1" t="s">
        <v>146</v>
      </c>
      <c r="BE42" s="1" t="s">
        <v>159</v>
      </c>
      <c r="BF42" s="1" t="s">
        <v>137</v>
      </c>
      <c r="BG42" s="1" t="s">
        <v>316</v>
      </c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">
        <v>161</v>
      </c>
    </row>
    <row r="43" spans="1:119" x14ac:dyDescent="0.2">
      <c r="A43" s="1" t="s">
        <v>242</v>
      </c>
      <c r="B43" s="1" t="s">
        <v>243</v>
      </c>
      <c r="C43" s="1"/>
      <c r="D43" s="1"/>
      <c r="E43" s="1"/>
      <c r="F43" s="1"/>
      <c r="G43" s="1"/>
      <c r="H43" s="1" t="s">
        <v>135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 t="s">
        <v>306</v>
      </c>
      <c r="W43" s="1" t="s">
        <v>155</v>
      </c>
      <c r="X43" s="1" t="s">
        <v>307</v>
      </c>
      <c r="Y43" s="1" t="s">
        <v>308</v>
      </c>
      <c r="Z43" s="1" t="s">
        <v>308</v>
      </c>
      <c r="AA43" s="1" t="s">
        <v>188</v>
      </c>
      <c r="AB43" s="1" t="s">
        <v>141</v>
      </c>
      <c r="AC43" s="1" t="s">
        <v>141</v>
      </c>
      <c r="AD43" s="1" t="s">
        <v>137</v>
      </c>
      <c r="AE43" s="1" t="s">
        <v>309</v>
      </c>
      <c r="AF43" s="1" t="s">
        <v>206</v>
      </c>
      <c r="AG43" s="1" t="s">
        <v>139</v>
      </c>
      <c r="AH43" s="1" t="s">
        <v>310</v>
      </c>
      <c r="AI43" s="1" t="s">
        <v>146</v>
      </c>
      <c r="AJ43" s="1" t="s">
        <v>311</v>
      </c>
      <c r="AK43" s="1" t="s">
        <v>158</v>
      </c>
      <c r="AL43" s="1" t="s">
        <v>159</v>
      </c>
      <c r="AM43" s="1" t="s">
        <v>200</v>
      </c>
      <c r="AN43" s="1" t="s">
        <v>146</v>
      </c>
      <c r="AO43" s="1" t="s">
        <v>146</v>
      </c>
      <c r="AP43" s="1" t="s">
        <v>309</v>
      </c>
      <c r="AQ43" s="1" t="s">
        <v>312</v>
      </c>
      <c r="AR43" s="1" t="s">
        <v>159</v>
      </c>
      <c r="AS43" s="1" t="s">
        <v>313</v>
      </c>
      <c r="AT43" s="1" t="s">
        <v>314</v>
      </c>
      <c r="AU43" s="1" t="s">
        <v>315</v>
      </c>
      <c r="AV43" s="1" t="s">
        <v>195</v>
      </c>
      <c r="AW43" s="1" t="s">
        <v>158</v>
      </c>
      <c r="AX43" s="1" t="s">
        <v>157</v>
      </c>
      <c r="AY43" s="1" t="s">
        <v>206</v>
      </c>
      <c r="AZ43" s="1" t="s">
        <v>146</v>
      </c>
      <c r="BA43" s="1" t="s">
        <v>146</v>
      </c>
      <c r="BB43" s="1" t="s">
        <v>309</v>
      </c>
      <c r="BC43" s="1" t="s">
        <v>146</v>
      </c>
      <c r="BD43" s="1" t="s">
        <v>146</v>
      </c>
      <c r="BE43" s="1" t="s">
        <v>159</v>
      </c>
      <c r="BF43" s="1" t="s">
        <v>137</v>
      </c>
      <c r="BG43" s="1" t="s">
        <v>316</v>
      </c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">
        <v>161</v>
      </c>
    </row>
    <row r="44" spans="1:119" x14ac:dyDescent="0.2">
      <c r="A44" s="1" t="s">
        <v>244</v>
      </c>
      <c r="B44" s="1" t="s">
        <v>245</v>
      </c>
      <c r="C44" s="1"/>
      <c r="D44" s="1"/>
      <c r="E44" s="1"/>
      <c r="F44" s="1"/>
      <c r="G44" s="1"/>
      <c r="H44" s="1" t="s">
        <v>135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 t="s">
        <v>306</v>
      </c>
      <c r="W44" s="1" t="s">
        <v>155</v>
      </c>
      <c r="X44" s="1" t="s">
        <v>307</v>
      </c>
      <c r="Y44" s="1" t="s">
        <v>308</v>
      </c>
      <c r="Z44" s="1" t="s">
        <v>308</v>
      </c>
      <c r="AA44" s="1" t="s">
        <v>188</v>
      </c>
      <c r="AB44" s="1" t="s">
        <v>141</v>
      </c>
      <c r="AC44" s="1" t="s">
        <v>141</v>
      </c>
      <c r="AD44" s="1" t="s">
        <v>137</v>
      </c>
      <c r="AE44" s="1" t="s">
        <v>309</v>
      </c>
      <c r="AF44" s="1" t="s">
        <v>206</v>
      </c>
      <c r="AG44" s="1" t="s">
        <v>139</v>
      </c>
      <c r="AH44" s="1" t="s">
        <v>310</v>
      </c>
      <c r="AI44" s="1" t="s">
        <v>146</v>
      </c>
      <c r="AJ44" s="1" t="s">
        <v>311</v>
      </c>
      <c r="AK44" s="1" t="s">
        <v>158</v>
      </c>
      <c r="AL44" s="1" t="s">
        <v>159</v>
      </c>
      <c r="AM44" s="1" t="s">
        <v>200</v>
      </c>
      <c r="AN44" s="1" t="s">
        <v>146</v>
      </c>
      <c r="AO44" s="1" t="s">
        <v>146</v>
      </c>
      <c r="AP44" s="1" t="s">
        <v>309</v>
      </c>
      <c r="AQ44" s="1" t="s">
        <v>312</v>
      </c>
      <c r="AR44" s="1" t="s">
        <v>159</v>
      </c>
      <c r="AS44" s="1" t="s">
        <v>313</v>
      </c>
      <c r="AT44" s="1" t="s">
        <v>314</v>
      </c>
      <c r="AU44" s="1" t="s">
        <v>315</v>
      </c>
      <c r="AV44" s="1" t="s">
        <v>195</v>
      </c>
      <c r="AW44" s="1" t="s">
        <v>158</v>
      </c>
      <c r="AX44" s="1" t="s">
        <v>157</v>
      </c>
      <c r="AY44" s="1" t="s">
        <v>206</v>
      </c>
      <c r="AZ44" s="1" t="s">
        <v>146</v>
      </c>
      <c r="BA44" s="1" t="s">
        <v>146</v>
      </c>
      <c r="BB44" s="1" t="s">
        <v>309</v>
      </c>
      <c r="BC44" s="1" t="s">
        <v>146</v>
      </c>
      <c r="BD44" s="1" t="s">
        <v>146</v>
      </c>
      <c r="BE44" s="1" t="s">
        <v>159</v>
      </c>
      <c r="BF44" s="1" t="s">
        <v>137</v>
      </c>
      <c r="BG44" s="1" t="s">
        <v>316</v>
      </c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">
        <v>161</v>
      </c>
    </row>
    <row r="45" spans="1:119" x14ac:dyDescent="0.2">
      <c r="A45" s="1" t="s">
        <v>196</v>
      </c>
      <c r="B45" s="1" t="s">
        <v>246</v>
      </c>
      <c r="C45" s="1"/>
      <c r="D45" s="1"/>
      <c r="E45" s="1"/>
      <c r="F45" s="1"/>
      <c r="G45" s="1"/>
      <c r="H45" s="1" t="s">
        <v>135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 t="s">
        <v>306</v>
      </c>
      <c r="W45" s="1" t="s">
        <v>155</v>
      </c>
      <c r="X45" s="1" t="s">
        <v>307</v>
      </c>
      <c r="Y45" s="1" t="s">
        <v>308</v>
      </c>
      <c r="Z45" s="1" t="s">
        <v>308</v>
      </c>
      <c r="AA45" s="1" t="s">
        <v>188</v>
      </c>
      <c r="AB45" s="1" t="s">
        <v>141</v>
      </c>
      <c r="AC45" s="1" t="s">
        <v>141</v>
      </c>
      <c r="AD45" s="1" t="s">
        <v>137</v>
      </c>
      <c r="AE45" s="1" t="s">
        <v>309</v>
      </c>
      <c r="AF45" s="1" t="s">
        <v>206</v>
      </c>
      <c r="AG45" s="1" t="s">
        <v>139</v>
      </c>
      <c r="AH45" s="1" t="s">
        <v>310</v>
      </c>
      <c r="AI45" s="1" t="s">
        <v>146</v>
      </c>
      <c r="AJ45" s="1" t="s">
        <v>311</v>
      </c>
      <c r="AK45" s="1" t="s">
        <v>158</v>
      </c>
      <c r="AL45" s="1" t="s">
        <v>159</v>
      </c>
      <c r="AM45" s="1" t="s">
        <v>200</v>
      </c>
      <c r="AN45" s="1" t="s">
        <v>146</v>
      </c>
      <c r="AO45" s="1" t="s">
        <v>146</v>
      </c>
      <c r="AP45" s="1" t="s">
        <v>309</v>
      </c>
      <c r="AQ45" s="1" t="s">
        <v>312</v>
      </c>
      <c r="AR45" s="1" t="s">
        <v>159</v>
      </c>
      <c r="AS45" s="1" t="s">
        <v>313</v>
      </c>
      <c r="AT45" s="1" t="s">
        <v>314</v>
      </c>
      <c r="AU45" s="1" t="s">
        <v>315</v>
      </c>
      <c r="AV45" s="1" t="s">
        <v>195</v>
      </c>
      <c r="AW45" s="1" t="s">
        <v>158</v>
      </c>
      <c r="AX45" s="1" t="s">
        <v>157</v>
      </c>
      <c r="AY45" s="1" t="s">
        <v>206</v>
      </c>
      <c r="AZ45" s="1" t="s">
        <v>146</v>
      </c>
      <c r="BA45" s="1" t="s">
        <v>146</v>
      </c>
      <c r="BB45" s="1" t="s">
        <v>309</v>
      </c>
      <c r="BC45" s="1" t="s">
        <v>146</v>
      </c>
      <c r="BD45" s="1" t="s">
        <v>146</v>
      </c>
      <c r="BE45" s="1" t="s">
        <v>159</v>
      </c>
      <c r="BF45" s="1" t="s">
        <v>137</v>
      </c>
      <c r="BG45" s="1" t="s">
        <v>316</v>
      </c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">
        <v>161</v>
      </c>
    </row>
    <row r="46" spans="1:119" x14ac:dyDescent="0.2">
      <c r="A46" s="1" t="s">
        <v>247</v>
      </c>
      <c r="B46" s="1" t="s">
        <v>248</v>
      </c>
      <c r="C46" s="1"/>
      <c r="D46" s="1"/>
      <c r="E46" s="1"/>
      <c r="F46" s="1"/>
      <c r="G46" s="1"/>
      <c r="H46" s="1" t="s">
        <v>164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 t="s">
        <v>306</v>
      </c>
      <c r="W46" s="1" t="s">
        <v>155</v>
      </c>
      <c r="X46" s="1" t="s">
        <v>307</v>
      </c>
      <c r="Y46" s="1" t="s">
        <v>308</v>
      </c>
      <c r="Z46" s="1" t="s">
        <v>308</v>
      </c>
      <c r="AA46" s="1" t="s">
        <v>188</v>
      </c>
      <c r="AB46" s="1" t="s">
        <v>141</v>
      </c>
      <c r="AC46" s="1" t="s">
        <v>141</v>
      </c>
      <c r="AD46" s="1" t="s">
        <v>137</v>
      </c>
      <c r="AE46" s="1" t="s">
        <v>309</v>
      </c>
      <c r="AF46" s="1" t="s">
        <v>206</v>
      </c>
      <c r="AG46" s="1" t="s">
        <v>139</v>
      </c>
      <c r="AH46" s="1" t="s">
        <v>146</v>
      </c>
      <c r="AI46" s="1" t="s">
        <v>146</v>
      </c>
      <c r="AJ46" s="1" t="s">
        <v>311</v>
      </c>
      <c r="AK46" s="1" t="s">
        <v>158</v>
      </c>
      <c r="AL46" s="1" t="s">
        <v>159</v>
      </c>
      <c r="AM46" s="1" t="s">
        <v>200</v>
      </c>
      <c r="AN46" s="1" t="s">
        <v>146</v>
      </c>
      <c r="AO46" s="1" t="s">
        <v>146</v>
      </c>
      <c r="AP46" s="1" t="s">
        <v>309</v>
      </c>
      <c r="AQ46" s="1" t="s">
        <v>312</v>
      </c>
      <c r="AR46" s="1" t="s">
        <v>159</v>
      </c>
      <c r="AS46" s="1" t="s">
        <v>317</v>
      </c>
      <c r="AT46" s="1" t="s">
        <v>314</v>
      </c>
      <c r="AU46" s="1" t="s">
        <v>315</v>
      </c>
      <c r="AV46" s="1" t="s">
        <v>195</v>
      </c>
      <c r="AW46" s="1" t="s">
        <v>158</v>
      </c>
      <c r="AX46" s="1" t="s">
        <v>157</v>
      </c>
      <c r="AY46" s="1" t="s">
        <v>206</v>
      </c>
      <c r="AZ46" s="1" t="s">
        <v>146</v>
      </c>
      <c r="BA46" s="1" t="s">
        <v>146</v>
      </c>
      <c r="BB46" s="1" t="s">
        <v>309</v>
      </c>
      <c r="BC46" s="1" t="s">
        <v>146</v>
      </c>
      <c r="BD46" s="1" t="s">
        <v>146</v>
      </c>
      <c r="BE46" s="1" t="s">
        <v>159</v>
      </c>
      <c r="BF46" s="1" t="s">
        <v>137</v>
      </c>
      <c r="BG46" s="1" t="s">
        <v>316</v>
      </c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">
        <v>161</v>
      </c>
    </row>
    <row r="47" spans="1:119" x14ac:dyDescent="0.2">
      <c r="A47" s="1" t="s">
        <v>249</v>
      </c>
      <c r="B47" s="1" t="s">
        <v>250</v>
      </c>
      <c r="C47" s="1"/>
      <c r="D47" s="1"/>
      <c r="E47" s="1"/>
      <c r="F47" s="1"/>
      <c r="G47" s="1"/>
      <c r="H47" s="1" t="s">
        <v>135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 t="s">
        <v>306</v>
      </c>
      <c r="W47" s="1" t="s">
        <v>155</v>
      </c>
      <c r="X47" s="1" t="s">
        <v>307</v>
      </c>
      <c r="Y47" s="1" t="s">
        <v>308</v>
      </c>
      <c r="Z47" s="1" t="s">
        <v>308</v>
      </c>
      <c r="AA47" s="1" t="s">
        <v>188</v>
      </c>
      <c r="AB47" s="1" t="s">
        <v>141</v>
      </c>
      <c r="AC47" s="1" t="s">
        <v>141</v>
      </c>
      <c r="AD47" s="1" t="s">
        <v>137</v>
      </c>
      <c r="AE47" s="1" t="s">
        <v>309</v>
      </c>
      <c r="AF47" s="1" t="s">
        <v>206</v>
      </c>
      <c r="AG47" s="1" t="s">
        <v>139</v>
      </c>
      <c r="AH47" s="1" t="s">
        <v>310</v>
      </c>
      <c r="AI47" s="1" t="s">
        <v>146</v>
      </c>
      <c r="AJ47" s="1" t="s">
        <v>311</v>
      </c>
      <c r="AK47" s="1" t="s">
        <v>158</v>
      </c>
      <c r="AL47" s="1" t="s">
        <v>159</v>
      </c>
      <c r="AM47" s="1" t="s">
        <v>200</v>
      </c>
      <c r="AN47" s="1" t="s">
        <v>146</v>
      </c>
      <c r="AO47" s="1" t="s">
        <v>146</v>
      </c>
      <c r="AP47" s="1" t="s">
        <v>309</v>
      </c>
      <c r="AQ47" s="1" t="s">
        <v>312</v>
      </c>
      <c r="AR47" s="1" t="s">
        <v>159</v>
      </c>
      <c r="AS47" s="1" t="s">
        <v>313</v>
      </c>
      <c r="AT47" s="1" t="s">
        <v>314</v>
      </c>
      <c r="AU47" s="1" t="s">
        <v>315</v>
      </c>
      <c r="AV47" s="1" t="s">
        <v>195</v>
      </c>
      <c r="AW47" s="1" t="s">
        <v>158</v>
      </c>
      <c r="AX47" s="1" t="s">
        <v>157</v>
      </c>
      <c r="AY47" s="1" t="s">
        <v>206</v>
      </c>
      <c r="AZ47" s="1" t="s">
        <v>146</v>
      </c>
      <c r="BA47" s="1" t="s">
        <v>146</v>
      </c>
      <c r="BB47" s="1" t="s">
        <v>309</v>
      </c>
      <c r="BC47" s="1" t="s">
        <v>146</v>
      </c>
      <c r="BD47" s="1" t="s">
        <v>146</v>
      </c>
      <c r="BE47" s="1" t="s">
        <v>159</v>
      </c>
      <c r="BF47" s="1" t="s">
        <v>137</v>
      </c>
      <c r="BG47" s="1" t="s">
        <v>316</v>
      </c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">
        <v>161</v>
      </c>
    </row>
    <row r="48" spans="1:119" x14ac:dyDescent="0.2">
      <c r="A48" s="1" t="s">
        <v>251</v>
      </c>
      <c r="B48" s="1" t="s">
        <v>252</v>
      </c>
      <c r="C48" s="1"/>
      <c r="D48" s="1"/>
      <c r="E48" s="1"/>
      <c r="F48" s="1"/>
      <c r="G48" s="1"/>
      <c r="H48" s="1" t="s">
        <v>135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 t="s">
        <v>306</v>
      </c>
      <c r="W48" s="1" t="s">
        <v>155</v>
      </c>
      <c r="X48" s="1" t="s">
        <v>307</v>
      </c>
      <c r="Y48" s="1" t="s">
        <v>308</v>
      </c>
      <c r="Z48" s="1" t="s">
        <v>308</v>
      </c>
      <c r="AA48" s="1" t="s">
        <v>188</v>
      </c>
      <c r="AB48" s="1" t="s">
        <v>141</v>
      </c>
      <c r="AC48" s="1" t="s">
        <v>141</v>
      </c>
      <c r="AD48" s="1" t="s">
        <v>137</v>
      </c>
      <c r="AE48" s="1" t="s">
        <v>309</v>
      </c>
      <c r="AF48" s="1" t="s">
        <v>206</v>
      </c>
      <c r="AG48" s="1" t="s">
        <v>139</v>
      </c>
      <c r="AH48" s="1" t="s">
        <v>310</v>
      </c>
      <c r="AI48" s="1" t="s">
        <v>146</v>
      </c>
      <c r="AJ48" s="1" t="s">
        <v>311</v>
      </c>
      <c r="AK48" s="1" t="s">
        <v>158</v>
      </c>
      <c r="AL48" s="1" t="s">
        <v>159</v>
      </c>
      <c r="AM48" s="1" t="s">
        <v>200</v>
      </c>
      <c r="AN48" s="1" t="s">
        <v>146</v>
      </c>
      <c r="AO48" s="1" t="s">
        <v>146</v>
      </c>
      <c r="AP48" s="1" t="s">
        <v>309</v>
      </c>
      <c r="AQ48" s="1" t="s">
        <v>312</v>
      </c>
      <c r="AR48" s="1" t="s">
        <v>159</v>
      </c>
      <c r="AS48" s="1" t="s">
        <v>313</v>
      </c>
      <c r="AT48" s="1" t="s">
        <v>314</v>
      </c>
      <c r="AU48" s="1" t="s">
        <v>315</v>
      </c>
      <c r="AV48" s="1" t="s">
        <v>195</v>
      </c>
      <c r="AW48" s="1" t="s">
        <v>158</v>
      </c>
      <c r="AX48" s="1" t="s">
        <v>157</v>
      </c>
      <c r="AY48" s="1" t="s">
        <v>206</v>
      </c>
      <c r="AZ48" s="1" t="s">
        <v>146</v>
      </c>
      <c r="BA48" s="1" t="s">
        <v>146</v>
      </c>
      <c r="BB48" s="1" t="s">
        <v>309</v>
      </c>
      <c r="BC48" s="1" t="s">
        <v>146</v>
      </c>
      <c r="BD48" s="1" t="s">
        <v>146</v>
      </c>
      <c r="BE48" s="1" t="s">
        <v>159</v>
      </c>
      <c r="BF48" s="1" t="s">
        <v>137</v>
      </c>
      <c r="BG48" s="1" t="s">
        <v>316</v>
      </c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">
        <v>161</v>
      </c>
    </row>
  </sheetData>
  <phoneticPr fontId="3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"/>
  <sheetViews>
    <sheetView showGridLines="0" zoomScaleNormal="100" workbookViewId="0">
      <selection activeCell="V60" sqref="V60"/>
    </sheetView>
  </sheetViews>
  <sheetFormatPr defaultRowHeight="16.5" x14ac:dyDescent="0.25"/>
  <cols>
    <col min="1" max="16384" width="9.140625" style="11"/>
  </cols>
  <sheetData/>
  <phoneticPr fontId="3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rkopen_loop">
                <anchor moveWithCells="1" sizeWithCells="1">
                  <from>
                    <xdr:col>16</xdr:col>
                    <xdr:colOff>114300</xdr:colOff>
                    <xdr:row>22</xdr:row>
                    <xdr:rowOff>142875</xdr:rowOff>
                  </from>
                  <to>
                    <xdr:col>17</xdr:col>
                    <xdr:colOff>114300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rkclose_loop">
                <anchor moveWithCells="1" sizeWithCells="1">
                  <from>
                    <xdr:col>16</xdr:col>
                    <xdr:colOff>114300</xdr:colOff>
                    <xdr:row>24</xdr:row>
                    <xdr:rowOff>57150</xdr:rowOff>
                  </from>
                  <to>
                    <xdr:col>17</xdr:col>
                    <xdr:colOff>114300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rkopen_1st">
                <anchor moveWithCells="1" sizeWithCells="1">
                  <from>
                    <xdr:col>14</xdr:col>
                    <xdr:colOff>476250</xdr:colOff>
                    <xdr:row>3</xdr:row>
                    <xdr:rowOff>9525</xdr:rowOff>
                  </from>
                  <to>
                    <xdr:col>15</xdr:col>
                    <xdr:colOff>476250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rkclose_1st">
                <anchor moveWithCells="1" sizeWithCells="1">
                  <from>
                    <xdr:col>14</xdr:col>
                    <xdr:colOff>476250</xdr:colOff>
                    <xdr:row>4</xdr:row>
                    <xdr:rowOff>152400</xdr:rowOff>
                  </from>
                  <to>
                    <xdr:col>15</xdr:col>
                    <xdr:colOff>476250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rkopen_2nd">
                <anchor moveWithCells="1" sizeWithCells="1">
                  <from>
                    <xdr:col>16</xdr:col>
                    <xdr:colOff>114300</xdr:colOff>
                    <xdr:row>42</xdr:row>
                    <xdr:rowOff>66675</xdr:rowOff>
                  </from>
                  <to>
                    <xdr:col>17</xdr:col>
                    <xdr:colOff>114300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arkclose_2nd">
                <anchor moveWithCells="1" sizeWithCells="1">
                  <from>
                    <xdr:col>16</xdr:col>
                    <xdr:colOff>123825</xdr:colOff>
                    <xdr:row>43</xdr:row>
                    <xdr:rowOff>190500</xdr:rowOff>
                  </from>
                  <to>
                    <xdr:col>17</xdr:col>
                    <xdr:colOff>123825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arkclose_kinkh">
                <anchor moveWithCells="1" sizeWithCells="1">
                  <from>
                    <xdr:col>17</xdr:col>
                    <xdr:colOff>180975</xdr:colOff>
                    <xdr:row>24</xdr:row>
                    <xdr:rowOff>66675</xdr:rowOff>
                  </from>
                  <to>
                    <xdr:col>19</xdr:col>
                    <xdr:colOff>400050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markopen_kinkh">
                <anchor moveWithCells="1" sizeWithCells="1">
                  <from>
                    <xdr:col>17</xdr:col>
                    <xdr:colOff>200025</xdr:colOff>
                    <xdr:row>22</xdr:row>
                    <xdr:rowOff>152400</xdr:rowOff>
                  </from>
                  <to>
                    <xdr:col>19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45"/>
  <sheetViews>
    <sheetView tabSelected="1" workbookViewId="0">
      <pane ySplit="1" topLeftCell="A2" activePane="bottomLeft" state="frozen"/>
      <selection pane="bottomLeft" activeCell="F53" sqref="F53"/>
    </sheetView>
  </sheetViews>
  <sheetFormatPr defaultRowHeight="12.75" x14ac:dyDescent="0.2"/>
  <cols>
    <col min="1" max="1" width="3.140625" bestFit="1" customWidth="1"/>
    <col min="2" max="2" width="16.28515625" bestFit="1" customWidth="1"/>
    <col min="3" max="4" width="13.140625" customWidth="1"/>
    <col min="5" max="5" width="9.140625" style="17"/>
    <col min="6" max="7" width="12" style="17" customWidth="1"/>
    <col min="8" max="8" width="12" customWidth="1"/>
    <col min="9" max="9" width="14.140625" customWidth="1"/>
    <col min="10" max="10" width="9.140625" customWidth="1"/>
  </cols>
  <sheetData>
    <row r="1" spans="1:11" s="17" customFormat="1" ht="14.25" x14ac:dyDescent="0.2">
      <c r="A1" s="21" t="s">
        <v>414</v>
      </c>
      <c r="B1" s="21" t="s">
        <v>398</v>
      </c>
      <c r="C1" s="21" t="s">
        <v>400</v>
      </c>
      <c r="D1" s="21" t="s">
        <v>402</v>
      </c>
      <c r="E1" s="21" t="s">
        <v>397</v>
      </c>
      <c r="F1" s="17" t="s">
        <v>359</v>
      </c>
      <c r="G1" s="17" t="s">
        <v>403</v>
      </c>
      <c r="H1" s="17" t="s">
        <v>361</v>
      </c>
      <c r="I1" s="21" t="s">
        <v>405</v>
      </c>
      <c r="J1" s="22" t="s">
        <v>413</v>
      </c>
    </row>
    <row r="2" spans="1:11" x14ac:dyDescent="0.2">
      <c r="A2">
        <v>1</v>
      </c>
      <c r="B2" s="15" t="s">
        <v>447</v>
      </c>
      <c r="C2" t="s">
        <v>399</v>
      </c>
      <c r="D2" t="s">
        <v>401</v>
      </c>
      <c r="E2" s="17" t="s">
        <v>362</v>
      </c>
      <c r="F2" s="17">
        <v>118143</v>
      </c>
      <c r="G2" s="17">
        <v>118084</v>
      </c>
      <c r="H2">
        <f>F2-G2</f>
        <v>59</v>
      </c>
      <c r="I2">
        <v>101</v>
      </c>
      <c r="K2">
        <f>F32-F2</f>
        <v>1754</v>
      </c>
    </row>
    <row r="3" spans="1:11" x14ac:dyDescent="0.2">
      <c r="A3">
        <v>1</v>
      </c>
      <c r="B3" s="15" t="s">
        <v>422</v>
      </c>
      <c r="C3" t="s">
        <v>399</v>
      </c>
      <c r="D3" t="s">
        <v>401</v>
      </c>
      <c r="E3" s="17" t="s">
        <v>363</v>
      </c>
      <c r="F3" s="17">
        <v>124505</v>
      </c>
      <c r="G3" s="17">
        <v>124466</v>
      </c>
      <c r="H3">
        <f>F3-G3</f>
        <v>39</v>
      </c>
      <c r="I3">
        <v>101</v>
      </c>
      <c r="J3">
        <f t="shared" ref="J3:J31" si="0">F3-F2</f>
        <v>6362</v>
      </c>
      <c r="K3">
        <f>F33-F3</f>
        <v>1764</v>
      </c>
    </row>
    <row r="4" spans="1:11" x14ac:dyDescent="0.2">
      <c r="A4">
        <v>1</v>
      </c>
      <c r="B4" s="15" t="s">
        <v>422</v>
      </c>
      <c r="C4" t="s">
        <v>399</v>
      </c>
      <c r="D4" t="s">
        <v>401</v>
      </c>
      <c r="E4" s="17" t="s">
        <v>364</v>
      </c>
      <c r="F4" s="17">
        <v>130931</v>
      </c>
      <c r="G4" s="17">
        <v>130892</v>
      </c>
      <c r="H4">
        <f>F4-G4</f>
        <v>39</v>
      </c>
      <c r="I4">
        <v>101</v>
      </c>
      <c r="J4">
        <f t="shared" si="0"/>
        <v>6426</v>
      </c>
      <c r="K4">
        <f t="shared" ref="K4:K67" si="1">F34-F4</f>
        <v>1755</v>
      </c>
    </row>
    <row r="5" spans="1:11" x14ac:dyDescent="0.2">
      <c r="A5">
        <v>1</v>
      </c>
      <c r="B5" s="15" t="s">
        <v>422</v>
      </c>
      <c r="C5" t="s">
        <v>399</v>
      </c>
      <c r="D5" t="s">
        <v>401</v>
      </c>
      <c r="E5" s="17" t="s">
        <v>365</v>
      </c>
      <c r="F5" s="17">
        <v>137682</v>
      </c>
      <c r="G5" s="17">
        <v>137616</v>
      </c>
      <c r="H5">
        <f t="shared" ref="H5:H68" si="2">F5-G5</f>
        <v>66</v>
      </c>
      <c r="I5">
        <v>101</v>
      </c>
      <c r="J5">
        <f t="shared" si="0"/>
        <v>6751</v>
      </c>
      <c r="K5">
        <f t="shared" si="1"/>
        <v>2316</v>
      </c>
    </row>
    <row r="6" spans="1:11" x14ac:dyDescent="0.2">
      <c r="A6">
        <v>1</v>
      </c>
      <c r="B6" s="15" t="s">
        <v>422</v>
      </c>
      <c r="C6" t="s">
        <v>399</v>
      </c>
      <c r="D6" t="s">
        <v>401</v>
      </c>
      <c r="E6" s="17" t="s">
        <v>366</v>
      </c>
      <c r="F6" s="17">
        <v>145951</v>
      </c>
      <c r="G6" s="17">
        <v>145934</v>
      </c>
      <c r="H6">
        <f t="shared" si="2"/>
        <v>17</v>
      </c>
      <c r="I6">
        <v>101</v>
      </c>
      <c r="J6">
        <f t="shared" si="0"/>
        <v>8269</v>
      </c>
      <c r="K6">
        <f t="shared" si="1"/>
        <v>1198</v>
      </c>
    </row>
    <row r="7" spans="1:11" x14ac:dyDescent="0.2">
      <c r="A7">
        <v>1</v>
      </c>
      <c r="B7" s="15" t="s">
        <v>422</v>
      </c>
      <c r="C7" t="s">
        <v>399</v>
      </c>
      <c r="D7" t="s">
        <v>401</v>
      </c>
      <c r="E7" s="17" t="s">
        <v>367</v>
      </c>
      <c r="F7" s="17">
        <v>153770</v>
      </c>
      <c r="G7" s="17">
        <v>153738</v>
      </c>
      <c r="H7">
        <f t="shared" si="2"/>
        <v>32</v>
      </c>
      <c r="I7">
        <v>101</v>
      </c>
      <c r="J7">
        <f t="shared" si="0"/>
        <v>7819</v>
      </c>
      <c r="K7">
        <f t="shared" si="1"/>
        <v>1195</v>
      </c>
    </row>
    <row r="8" spans="1:11" x14ac:dyDescent="0.2">
      <c r="A8">
        <v>1</v>
      </c>
      <c r="B8" s="15" t="s">
        <v>422</v>
      </c>
      <c r="C8" t="s">
        <v>399</v>
      </c>
      <c r="D8" t="s">
        <v>401</v>
      </c>
      <c r="E8" s="17" t="s">
        <v>368</v>
      </c>
      <c r="F8" s="17">
        <v>161667</v>
      </c>
      <c r="G8" s="17">
        <v>161628</v>
      </c>
      <c r="H8">
        <f t="shared" si="2"/>
        <v>39</v>
      </c>
      <c r="I8">
        <v>101</v>
      </c>
      <c r="J8">
        <f t="shared" si="0"/>
        <v>7897</v>
      </c>
      <c r="K8">
        <f t="shared" si="1"/>
        <v>1154</v>
      </c>
    </row>
    <row r="9" spans="1:11" x14ac:dyDescent="0.2">
      <c r="A9">
        <v>1</v>
      </c>
      <c r="B9" s="15" t="s">
        <v>422</v>
      </c>
      <c r="C9" t="s">
        <v>399</v>
      </c>
      <c r="D9" t="s">
        <v>401</v>
      </c>
      <c r="E9" s="17" t="s">
        <v>369</v>
      </c>
      <c r="F9" s="17">
        <v>169583</v>
      </c>
      <c r="G9" s="17">
        <v>169538</v>
      </c>
      <c r="H9">
        <f t="shared" si="2"/>
        <v>45</v>
      </c>
      <c r="I9">
        <v>101</v>
      </c>
      <c r="J9">
        <f t="shared" si="0"/>
        <v>7916</v>
      </c>
      <c r="K9">
        <f t="shared" si="1"/>
        <v>1167</v>
      </c>
    </row>
    <row r="10" spans="1:11" x14ac:dyDescent="0.2">
      <c r="A10">
        <v>1</v>
      </c>
      <c r="B10" s="15" t="s">
        <v>422</v>
      </c>
      <c r="C10" t="s">
        <v>399</v>
      </c>
      <c r="D10" t="s">
        <v>401</v>
      </c>
      <c r="E10" s="17" t="s">
        <v>370</v>
      </c>
      <c r="F10" s="17">
        <v>177398</v>
      </c>
      <c r="G10" s="17">
        <v>177339</v>
      </c>
      <c r="H10">
        <f t="shared" si="2"/>
        <v>59</v>
      </c>
      <c r="I10">
        <v>101</v>
      </c>
      <c r="J10">
        <f t="shared" si="0"/>
        <v>7815</v>
      </c>
      <c r="K10">
        <f t="shared" si="1"/>
        <v>1157</v>
      </c>
    </row>
    <row r="11" spans="1:11" x14ac:dyDescent="0.2">
      <c r="A11">
        <v>1</v>
      </c>
      <c r="B11" s="15" t="s">
        <v>422</v>
      </c>
      <c r="C11" t="s">
        <v>399</v>
      </c>
      <c r="D11" t="s">
        <v>401</v>
      </c>
      <c r="E11" s="17" t="s">
        <v>371</v>
      </c>
      <c r="F11" s="17">
        <v>184570</v>
      </c>
      <c r="G11" s="17">
        <v>184517</v>
      </c>
      <c r="H11">
        <f t="shared" si="2"/>
        <v>53</v>
      </c>
      <c r="I11">
        <v>101</v>
      </c>
      <c r="J11">
        <f t="shared" si="0"/>
        <v>7172</v>
      </c>
      <c r="K11">
        <f t="shared" si="1"/>
        <v>1760</v>
      </c>
    </row>
    <row r="12" spans="1:11" x14ac:dyDescent="0.2">
      <c r="A12">
        <v>1</v>
      </c>
      <c r="B12" s="15" t="s">
        <v>422</v>
      </c>
      <c r="C12" t="s">
        <v>399</v>
      </c>
      <c r="D12" t="s">
        <v>401</v>
      </c>
      <c r="E12" s="17" t="s">
        <v>372</v>
      </c>
      <c r="F12" s="17">
        <v>193531</v>
      </c>
      <c r="G12" s="17">
        <v>193486</v>
      </c>
      <c r="H12">
        <f t="shared" si="2"/>
        <v>45</v>
      </c>
      <c r="I12">
        <v>101</v>
      </c>
      <c r="J12">
        <f t="shared" si="0"/>
        <v>8961</v>
      </c>
      <c r="K12">
        <f t="shared" si="1"/>
        <v>2326</v>
      </c>
    </row>
    <row r="13" spans="1:11" x14ac:dyDescent="0.2">
      <c r="A13">
        <v>1</v>
      </c>
      <c r="B13" s="15" t="s">
        <v>422</v>
      </c>
      <c r="C13" t="s">
        <v>399</v>
      </c>
      <c r="D13" t="s">
        <v>401</v>
      </c>
      <c r="E13" s="17" t="s">
        <v>373</v>
      </c>
      <c r="F13" s="17">
        <v>203399</v>
      </c>
      <c r="G13" s="17">
        <v>203342</v>
      </c>
      <c r="H13">
        <f t="shared" si="2"/>
        <v>57</v>
      </c>
      <c r="I13">
        <v>101</v>
      </c>
      <c r="J13">
        <f t="shared" si="0"/>
        <v>9868</v>
      </c>
      <c r="K13">
        <f t="shared" si="1"/>
        <v>2311</v>
      </c>
    </row>
    <row r="14" spans="1:11" x14ac:dyDescent="0.2">
      <c r="A14">
        <v>1</v>
      </c>
      <c r="B14" s="15" t="s">
        <v>422</v>
      </c>
      <c r="C14" t="s">
        <v>399</v>
      </c>
      <c r="D14" t="s">
        <v>401</v>
      </c>
      <c r="E14" s="17" t="s">
        <v>374</v>
      </c>
      <c r="F14" s="17">
        <v>213414</v>
      </c>
      <c r="G14" s="17">
        <v>213357</v>
      </c>
      <c r="H14">
        <f t="shared" si="2"/>
        <v>57</v>
      </c>
      <c r="I14">
        <v>101</v>
      </c>
      <c r="J14">
        <f t="shared" si="0"/>
        <v>10015</v>
      </c>
      <c r="K14">
        <f t="shared" si="1"/>
        <v>2313</v>
      </c>
    </row>
    <row r="15" spans="1:11" x14ac:dyDescent="0.2">
      <c r="A15">
        <v>1</v>
      </c>
      <c r="B15" s="15" t="s">
        <v>422</v>
      </c>
      <c r="C15" t="s">
        <v>399</v>
      </c>
      <c r="D15" t="s">
        <v>401</v>
      </c>
      <c r="E15" s="17" t="s">
        <v>375</v>
      </c>
      <c r="F15" s="17">
        <v>221348</v>
      </c>
      <c r="G15" s="17">
        <v>221307</v>
      </c>
      <c r="H15">
        <f t="shared" si="2"/>
        <v>41</v>
      </c>
      <c r="I15">
        <v>101</v>
      </c>
      <c r="J15">
        <f t="shared" si="0"/>
        <v>7934</v>
      </c>
      <c r="K15">
        <f t="shared" si="1"/>
        <v>2308</v>
      </c>
    </row>
    <row r="16" spans="1:11" x14ac:dyDescent="0.2">
      <c r="A16">
        <v>1</v>
      </c>
      <c r="B16" s="15" t="s">
        <v>422</v>
      </c>
      <c r="C16" t="s">
        <v>399</v>
      </c>
      <c r="D16" t="s">
        <v>401</v>
      </c>
      <c r="E16" s="17" t="s">
        <v>376</v>
      </c>
      <c r="F16" s="17">
        <v>231368</v>
      </c>
      <c r="G16" s="17">
        <v>231339</v>
      </c>
      <c r="H16">
        <f t="shared" si="2"/>
        <v>29</v>
      </c>
      <c r="I16">
        <v>101</v>
      </c>
      <c r="J16">
        <f t="shared" si="0"/>
        <v>10020</v>
      </c>
      <c r="K16">
        <f t="shared" si="1"/>
        <v>2332</v>
      </c>
    </row>
    <row r="17" spans="1:11" x14ac:dyDescent="0.2">
      <c r="A17">
        <v>1</v>
      </c>
      <c r="B17" s="15" t="s">
        <v>422</v>
      </c>
      <c r="C17" t="s">
        <v>399</v>
      </c>
      <c r="D17" t="s">
        <v>401</v>
      </c>
      <c r="E17" s="17" t="s">
        <v>377</v>
      </c>
      <c r="F17" s="17">
        <v>241443</v>
      </c>
      <c r="G17" s="17">
        <v>241402</v>
      </c>
      <c r="H17">
        <f t="shared" si="2"/>
        <v>41</v>
      </c>
      <c r="I17">
        <v>101</v>
      </c>
      <c r="J17">
        <f t="shared" si="0"/>
        <v>10075</v>
      </c>
      <c r="K17">
        <f t="shared" si="1"/>
        <v>2322</v>
      </c>
    </row>
    <row r="18" spans="1:11" x14ac:dyDescent="0.2">
      <c r="A18">
        <v>1</v>
      </c>
      <c r="B18" s="15" t="s">
        <v>422</v>
      </c>
      <c r="C18" t="s">
        <v>399</v>
      </c>
      <c r="D18" t="s">
        <v>401</v>
      </c>
      <c r="E18" s="17" t="s">
        <v>378</v>
      </c>
      <c r="F18" s="17">
        <v>251574</v>
      </c>
      <c r="G18" s="17">
        <v>251535</v>
      </c>
      <c r="H18">
        <f t="shared" si="2"/>
        <v>39</v>
      </c>
      <c r="I18">
        <v>101</v>
      </c>
      <c r="J18">
        <f t="shared" si="0"/>
        <v>10131</v>
      </c>
      <c r="K18">
        <f t="shared" si="1"/>
        <v>2332</v>
      </c>
    </row>
    <row r="19" spans="1:11" x14ac:dyDescent="0.2">
      <c r="A19">
        <v>1</v>
      </c>
      <c r="B19" s="15" t="s">
        <v>422</v>
      </c>
      <c r="C19" t="s">
        <v>399</v>
      </c>
      <c r="D19" t="s">
        <v>401</v>
      </c>
      <c r="E19" s="17" t="s">
        <v>384</v>
      </c>
      <c r="F19" s="17">
        <v>261776</v>
      </c>
      <c r="G19" s="17">
        <v>261740</v>
      </c>
      <c r="H19">
        <f t="shared" si="2"/>
        <v>36</v>
      </c>
      <c r="I19">
        <v>101</v>
      </c>
      <c r="J19">
        <f t="shared" si="0"/>
        <v>10202</v>
      </c>
      <c r="K19">
        <f t="shared" si="1"/>
        <v>2319</v>
      </c>
    </row>
    <row r="20" spans="1:11" x14ac:dyDescent="0.2">
      <c r="A20">
        <v>1</v>
      </c>
      <c r="B20" s="15" t="s">
        <v>422</v>
      </c>
      <c r="C20" t="s">
        <v>399</v>
      </c>
      <c r="D20" t="s">
        <v>401</v>
      </c>
      <c r="E20" s="17" t="s">
        <v>385</v>
      </c>
      <c r="F20" s="17">
        <v>271984</v>
      </c>
      <c r="G20" s="17">
        <v>271946</v>
      </c>
      <c r="H20">
        <f t="shared" si="2"/>
        <v>38</v>
      </c>
      <c r="I20">
        <v>101</v>
      </c>
      <c r="J20">
        <f t="shared" si="0"/>
        <v>10208</v>
      </c>
      <c r="K20">
        <f t="shared" si="1"/>
        <v>2316</v>
      </c>
    </row>
    <row r="21" spans="1:11" x14ac:dyDescent="0.2">
      <c r="A21">
        <v>1</v>
      </c>
      <c r="B21" s="15" t="s">
        <v>422</v>
      </c>
      <c r="C21" t="s">
        <v>399</v>
      </c>
      <c r="D21" t="s">
        <v>401</v>
      </c>
      <c r="E21" s="17" t="s">
        <v>386</v>
      </c>
      <c r="F21" s="17">
        <v>282285</v>
      </c>
      <c r="G21" s="17">
        <v>282242</v>
      </c>
      <c r="H21">
        <f t="shared" si="2"/>
        <v>43</v>
      </c>
      <c r="I21">
        <v>101</v>
      </c>
      <c r="J21">
        <f t="shared" si="0"/>
        <v>10301</v>
      </c>
      <c r="K21">
        <f t="shared" si="1"/>
        <v>2317</v>
      </c>
    </row>
    <row r="22" spans="1:11" x14ac:dyDescent="0.2">
      <c r="A22">
        <v>1</v>
      </c>
      <c r="B22" s="15" t="s">
        <v>422</v>
      </c>
      <c r="C22" t="s">
        <v>399</v>
      </c>
      <c r="D22" t="s">
        <v>401</v>
      </c>
      <c r="E22" s="17" t="s">
        <v>387</v>
      </c>
      <c r="F22" s="17">
        <v>292569</v>
      </c>
      <c r="G22" s="17">
        <v>292530</v>
      </c>
      <c r="H22">
        <f t="shared" si="2"/>
        <v>39</v>
      </c>
      <c r="I22">
        <v>101</v>
      </c>
      <c r="J22">
        <f t="shared" si="0"/>
        <v>10284</v>
      </c>
      <c r="K22">
        <f t="shared" si="1"/>
        <v>2316</v>
      </c>
    </row>
    <row r="23" spans="1:11" x14ac:dyDescent="0.2">
      <c r="A23">
        <v>1</v>
      </c>
      <c r="B23" s="15" t="s">
        <v>422</v>
      </c>
      <c r="C23" t="s">
        <v>399</v>
      </c>
      <c r="D23" t="s">
        <v>401</v>
      </c>
      <c r="E23" s="17" t="s">
        <v>388</v>
      </c>
      <c r="F23" s="17">
        <v>302938</v>
      </c>
      <c r="G23" s="17">
        <v>302900</v>
      </c>
      <c r="H23">
        <f t="shared" si="2"/>
        <v>38</v>
      </c>
      <c r="I23">
        <v>101</v>
      </c>
      <c r="J23">
        <f t="shared" si="0"/>
        <v>10369</v>
      </c>
      <c r="K23">
        <f t="shared" si="1"/>
        <v>2318</v>
      </c>
    </row>
    <row r="24" spans="1:11" x14ac:dyDescent="0.2">
      <c r="A24">
        <v>1</v>
      </c>
      <c r="B24" s="15" t="s">
        <v>422</v>
      </c>
      <c r="C24" t="s">
        <v>399</v>
      </c>
      <c r="D24" t="s">
        <v>401</v>
      </c>
      <c r="E24" s="17" t="s">
        <v>389</v>
      </c>
      <c r="F24" s="17">
        <v>313421</v>
      </c>
      <c r="G24" s="17">
        <v>313377</v>
      </c>
      <c r="H24">
        <f t="shared" si="2"/>
        <v>44</v>
      </c>
      <c r="I24">
        <v>101</v>
      </c>
      <c r="J24">
        <f t="shared" si="0"/>
        <v>10483</v>
      </c>
      <c r="K24">
        <f t="shared" si="1"/>
        <v>2315</v>
      </c>
    </row>
    <row r="25" spans="1:11" x14ac:dyDescent="0.2">
      <c r="A25">
        <v>1</v>
      </c>
      <c r="B25" s="15" t="s">
        <v>422</v>
      </c>
      <c r="C25" t="s">
        <v>399</v>
      </c>
      <c r="D25" t="s">
        <v>401</v>
      </c>
      <c r="E25" s="17" t="s">
        <v>390</v>
      </c>
      <c r="F25" s="17">
        <v>324047</v>
      </c>
      <c r="G25" s="17">
        <v>323998</v>
      </c>
      <c r="H25">
        <f t="shared" si="2"/>
        <v>49</v>
      </c>
      <c r="I25">
        <v>101</v>
      </c>
      <c r="J25">
        <f t="shared" si="0"/>
        <v>10626</v>
      </c>
      <c r="K25">
        <f t="shared" si="1"/>
        <v>2307</v>
      </c>
    </row>
    <row r="26" spans="1:11" x14ac:dyDescent="0.2">
      <c r="A26">
        <v>1</v>
      </c>
      <c r="B26" s="15" t="s">
        <v>422</v>
      </c>
      <c r="C26" t="s">
        <v>399</v>
      </c>
      <c r="D26" t="s">
        <v>401</v>
      </c>
      <c r="E26" s="17" t="s">
        <v>391</v>
      </c>
      <c r="F26" s="17">
        <v>334516</v>
      </c>
      <c r="G26" s="17">
        <v>334471</v>
      </c>
      <c r="H26">
        <f t="shared" si="2"/>
        <v>45</v>
      </c>
      <c r="I26">
        <v>101</v>
      </c>
      <c r="J26">
        <f t="shared" si="0"/>
        <v>10469</v>
      </c>
      <c r="K26">
        <f t="shared" si="1"/>
        <v>2314</v>
      </c>
    </row>
    <row r="27" spans="1:11" x14ac:dyDescent="0.2">
      <c r="A27">
        <v>1</v>
      </c>
      <c r="B27" s="15" t="s">
        <v>422</v>
      </c>
      <c r="C27" t="s">
        <v>399</v>
      </c>
      <c r="D27" t="s">
        <v>401</v>
      </c>
      <c r="E27" s="17" t="s">
        <v>392</v>
      </c>
      <c r="F27" s="17">
        <v>344386</v>
      </c>
      <c r="G27" s="17">
        <v>344339</v>
      </c>
      <c r="H27">
        <f t="shared" si="2"/>
        <v>47</v>
      </c>
      <c r="I27">
        <v>101</v>
      </c>
      <c r="J27">
        <f t="shared" si="0"/>
        <v>9870</v>
      </c>
      <c r="K27">
        <f t="shared" si="1"/>
        <v>2323</v>
      </c>
    </row>
    <row r="28" spans="1:11" x14ac:dyDescent="0.2">
      <c r="A28">
        <v>1</v>
      </c>
      <c r="B28" s="15" t="s">
        <v>422</v>
      </c>
      <c r="C28" t="s">
        <v>399</v>
      </c>
      <c r="D28" t="s">
        <v>401</v>
      </c>
      <c r="E28" s="17" t="s">
        <v>393</v>
      </c>
      <c r="F28" s="17">
        <v>354317</v>
      </c>
      <c r="G28" s="17">
        <v>354259</v>
      </c>
      <c r="H28">
        <f t="shared" si="2"/>
        <v>58</v>
      </c>
      <c r="I28">
        <v>101</v>
      </c>
      <c r="J28">
        <f t="shared" si="0"/>
        <v>9931</v>
      </c>
      <c r="K28">
        <f t="shared" si="1"/>
        <v>2314</v>
      </c>
    </row>
    <row r="29" spans="1:11" x14ac:dyDescent="0.2">
      <c r="A29">
        <v>1</v>
      </c>
      <c r="B29" s="15" t="s">
        <v>422</v>
      </c>
      <c r="C29" t="s">
        <v>399</v>
      </c>
      <c r="D29" t="s">
        <v>401</v>
      </c>
      <c r="E29" s="17" t="s">
        <v>394</v>
      </c>
      <c r="F29" s="17">
        <v>364302</v>
      </c>
      <c r="G29" s="17">
        <v>364241</v>
      </c>
      <c r="H29">
        <f t="shared" si="2"/>
        <v>61</v>
      </c>
      <c r="I29">
        <v>101</v>
      </c>
      <c r="J29">
        <f t="shared" si="0"/>
        <v>9985</v>
      </c>
      <c r="K29">
        <f t="shared" si="1"/>
        <v>2304</v>
      </c>
    </row>
    <row r="30" spans="1:11" x14ac:dyDescent="0.2">
      <c r="A30">
        <v>1</v>
      </c>
      <c r="B30" s="15" t="s">
        <v>422</v>
      </c>
      <c r="C30" t="s">
        <v>399</v>
      </c>
      <c r="D30" t="s">
        <v>401</v>
      </c>
      <c r="E30" s="17" t="s">
        <v>395</v>
      </c>
      <c r="F30" s="17">
        <v>374342</v>
      </c>
      <c r="G30" s="17">
        <v>374293</v>
      </c>
      <c r="H30">
        <f t="shared" si="2"/>
        <v>49</v>
      </c>
      <c r="I30">
        <v>101</v>
      </c>
      <c r="J30">
        <f t="shared" si="0"/>
        <v>10040</v>
      </c>
      <c r="K30">
        <f t="shared" si="1"/>
        <v>2308</v>
      </c>
    </row>
    <row r="31" spans="1:11" x14ac:dyDescent="0.2">
      <c r="A31">
        <v>1</v>
      </c>
      <c r="B31" s="15" t="s">
        <v>422</v>
      </c>
      <c r="C31" t="s">
        <v>399</v>
      </c>
      <c r="D31" t="s">
        <v>401</v>
      </c>
      <c r="E31" s="17" t="s">
        <v>396</v>
      </c>
      <c r="F31" s="17">
        <v>384482</v>
      </c>
      <c r="G31" s="17">
        <v>384442</v>
      </c>
      <c r="H31">
        <f t="shared" si="2"/>
        <v>40</v>
      </c>
      <c r="I31">
        <v>101</v>
      </c>
      <c r="J31">
        <f t="shared" si="0"/>
        <v>10140</v>
      </c>
      <c r="K31">
        <f t="shared" si="1"/>
        <v>2317</v>
      </c>
    </row>
    <row r="32" spans="1:11" x14ac:dyDescent="0.2">
      <c r="A32">
        <v>1</v>
      </c>
      <c r="B32" s="15" t="s">
        <v>422</v>
      </c>
      <c r="C32" t="s">
        <v>399</v>
      </c>
      <c r="D32" t="s">
        <v>380</v>
      </c>
      <c r="E32" s="17" t="s">
        <v>362</v>
      </c>
      <c r="F32" s="17">
        <v>119897</v>
      </c>
      <c r="G32" s="17">
        <v>119936</v>
      </c>
      <c r="H32">
        <f t="shared" si="2"/>
        <v>-39</v>
      </c>
      <c r="I32">
        <v>101</v>
      </c>
    </row>
    <row r="33" spans="1:10" x14ac:dyDescent="0.2">
      <c r="A33">
        <v>1</v>
      </c>
      <c r="B33" s="15" t="s">
        <v>422</v>
      </c>
      <c r="C33" t="s">
        <v>399</v>
      </c>
      <c r="D33" t="s">
        <v>380</v>
      </c>
      <c r="E33" s="17" t="s">
        <v>363</v>
      </c>
      <c r="F33" s="17">
        <v>126269</v>
      </c>
      <c r="G33" s="17">
        <v>126309</v>
      </c>
      <c r="H33">
        <f t="shared" si="2"/>
        <v>-40</v>
      </c>
      <c r="I33">
        <v>101</v>
      </c>
      <c r="J33">
        <f t="shared" ref="J33:J61" si="3">F33-F32</f>
        <v>6372</v>
      </c>
    </row>
    <row r="34" spans="1:10" x14ac:dyDescent="0.2">
      <c r="A34">
        <v>1</v>
      </c>
      <c r="B34" s="15" t="s">
        <v>422</v>
      </c>
      <c r="C34" t="s">
        <v>399</v>
      </c>
      <c r="D34" t="s">
        <v>380</v>
      </c>
      <c r="E34" s="17" t="s">
        <v>364</v>
      </c>
      <c r="F34" s="17">
        <v>132686</v>
      </c>
      <c r="G34" s="17">
        <v>132728</v>
      </c>
      <c r="H34">
        <f t="shared" si="2"/>
        <v>-42</v>
      </c>
      <c r="I34">
        <v>101</v>
      </c>
      <c r="J34">
        <f t="shared" si="3"/>
        <v>6417</v>
      </c>
    </row>
    <row r="35" spans="1:10" x14ac:dyDescent="0.2">
      <c r="A35">
        <v>1</v>
      </c>
      <c r="B35" s="15" t="s">
        <v>422</v>
      </c>
      <c r="C35" t="s">
        <v>399</v>
      </c>
      <c r="D35" t="s">
        <v>380</v>
      </c>
      <c r="E35" s="17" t="s">
        <v>365</v>
      </c>
      <c r="F35" s="17">
        <v>139998</v>
      </c>
      <c r="G35" s="17">
        <v>140041</v>
      </c>
      <c r="H35">
        <f t="shared" si="2"/>
        <v>-43</v>
      </c>
      <c r="I35">
        <v>101</v>
      </c>
      <c r="J35">
        <f t="shared" si="3"/>
        <v>7312</v>
      </c>
    </row>
    <row r="36" spans="1:10" x14ac:dyDescent="0.2">
      <c r="A36">
        <v>1</v>
      </c>
      <c r="B36" s="15" t="s">
        <v>422</v>
      </c>
      <c r="C36" t="s">
        <v>399</v>
      </c>
      <c r="D36" t="s">
        <v>380</v>
      </c>
      <c r="E36" s="17" t="s">
        <v>366</v>
      </c>
      <c r="F36" s="17">
        <v>147149</v>
      </c>
      <c r="G36" s="17">
        <v>147192</v>
      </c>
      <c r="H36">
        <f t="shared" si="2"/>
        <v>-43</v>
      </c>
      <c r="I36">
        <v>101</v>
      </c>
      <c r="J36">
        <f t="shared" si="3"/>
        <v>7151</v>
      </c>
    </row>
    <row r="37" spans="1:10" x14ac:dyDescent="0.2">
      <c r="A37">
        <v>1</v>
      </c>
      <c r="B37" s="15" t="s">
        <v>422</v>
      </c>
      <c r="C37" t="s">
        <v>399</v>
      </c>
      <c r="D37" t="s">
        <v>380</v>
      </c>
      <c r="E37" s="17" t="s">
        <v>367</v>
      </c>
      <c r="F37" s="17">
        <v>154965</v>
      </c>
      <c r="G37" s="17">
        <v>155011</v>
      </c>
      <c r="H37">
        <f t="shared" si="2"/>
        <v>-46</v>
      </c>
      <c r="I37">
        <v>101</v>
      </c>
      <c r="J37">
        <f t="shared" si="3"/>
        <v>7816</v>
      </c>
    </row>
    <row r="38" spans="1:10" x14ac:dyDescent="0.2">
      <c r="A38">
        <v>1</v>
      </c>
      <c r="B38" s="15" t="s">
        <v>422</v>
      </c>
      <c r="C38" t="s">
        <v>399</v>
      </c>
      <c r="D38" t="s">
        <v>380</v>
      </c>
      <c r="E38" s="17" t="s">
        <v>368</v>
      </c>
      <c r="F38" s="17">
        <v>162821</v>
      </c>
      <c r="G38" s="17">
        <v>162863</v>
      </c>
      <c r="H38">
        <f t="shared" si="2"/>
        <v>-42</v>
      </c>
      <c r="I38">
        <v>101</v>
      </c>
      <c r="J38">
        <f t="shared" si="3"/>
        <v>7856</v>
      </c>
    </row>
    <row r="39" spans="1:10" x14ac:dyDescent="0.2">
      <c r="A39">
        <v>1</v>
      </c>
      <c r="B39" s="15" t="s">
        <v>422</v>
      </c>
      <c r="C39" t="s">
        <v>399</v>
      </c>
      <c r="D39" t="s">
        <v>380</v>
      </c>
      <c r="E39" s="17" t="s">
        <v>369</v>
      </c>
      <c r="F39" s="17">
        <v>170750</v>
      </c>
      <c r="G39" s="17">
        <v>170795</v>
      </c>
      <c r="H39">
        <f t="shared" si="2"/>
        <v>-45</v>
      </c>
      <c r="I39">
        <v>101</v>
      </c>
      <c r="J39">
        <f t="shared" si="3"/>
        <v>7929</v>
      </c>
    </row>
    <row r="40" spans="1:10" x14ac:dyDescent="0.2">
      <c r="A40">
        <v>1</v>
      </c>
      <c r="B40" s="15" t="s">
        <v>422</v>
      </c>
      <c r="C40" t="s">
        <v>399</v>
      </c>
      <c r="D40" t="s">
        <v>380</v>
      </c>
      <c r="E40" s="17" t="s">
        <v>370</v>
      </c>
      <c r="F40" s="17">
        <v>178555</v>
      </c>
      <c r="G40" s="17">
        <v>178598</v>
      </c>
      <c r="H40">
        <f t="shared" si="2"/>
        <v>-43</v>
      </c>
      <c r="I40">
        <v>101</v>
      </c>
      <c r="J40">
        <f t="shared" si="3"/>
        <v>7805</v>
      </c>
    </row>
    <row r="41" spans="1:10" x14ac:dyDescent="0.2">
      <c r="A41">
        <v>1</v>
      </c>
      <c r="B41" s="15" t="s">
        <v>422</v>
      </c>
      <c r="C41" t="s">
        <v>399</v>
      </c>
      <c r="D41" t="s">
        <v>380</v>
      </c>
      <c r="E41" s="17" t="s">
        <v>371</v>
      </c>
      <c r="F41" s="17">
        <v>186330</v>
      </c>
      <c r="G41" s="17">
        <v>186368</v>
      </c>
      <c r="H41">
        <f t="shared" si="2"/>
        <v>-38</v>
      </c>
      <c r="I41">
        <v>101</v>
      </c>
      <c r="J41">
        <f t="shared" si="3"/>
        <v>7775</v>
      </c>
    </row>
    <row r="42" spans="1:10" x14ac:dyDescent="0.2">
      <c r="A42">
        <v>1</v>
      </c>
      <c r="B42" s="15" t="s">
        <v>422</v>
      </c>
      <c r="C42" t="s">
        <v>399</v>
      </c>
      <c r="D42" t="s">
        <v>380</v>
      </c>
      <c r="E42" s="17" t="s">
        <v>372</v>
      </c>
      <c r="F42" s="17">
        <v>195857</v>
      </c>
      <c r="G42" s="17">
        <v>195906</v>
      </c>
      <c r="H42">
        <f t="shared" si="2"/>
        <v>-49</v>
      </c>
      <c r="I42">
        <v>101</v>
      </c>
      <c r="J42">
        <f t="shared" si="3"/>
        <v>9527</v>
      </c>
    </row>
    <row r="43" spans="1:10" x14ac:dyDescent="0.2">
      <c r="A43">
        <v>1</v>
      </c>
      <c r="B43" s="15" t="s">
        <v>422</v>
      </c>
      <c r="C43" t="s">
        <v>399</v>
      </c>
      <c r="D43" t="s">
        <v>380</v>
      </c>
      <c r="E43" s="17" t="s">
        <v>373</v>
      </c>
      <c r="F43" s="17">
        <v>205710</v>
      </c>
      <c r="G43" s="17">
        <v>205757</v>
      </c>
      <c r="H43">
        <f t="shared" si="2"/>
        <v>-47</v>
      </c>
      <c r="I43">
        <v>101</v>
      </c>
      <c r="J43">
        <f t="shared" si="3"/>
        <v>9853</v>
      </c>
    </row>
    <row r="44" spans="1:10" x14ac:dyDescent="0.2">
      <c r="A44">
        <v>1</v>
      </c>
      <c r="B44" s="15" t="s">
        <v>422</v>
      </c>
      <c r="C44" t="s">
        <v>399</v>
      </c>
      <c r="D44" t="s">
        <v>380</v>
      </c>
      <c r="E44" s="17" t="s">
        <v>374</v>
      </c>
      <c r="F44" s="17">
        <v>215727</v>
      </c>
      <c r="G44" s="17">
        <v>215776</v>
      </c>
      <c r="H44">
        <f t="shared" si="2"/>
        <v>-49</v>
      </c>
      <c r="I44">
        <v>101</v>
      </c>
      <c r="J44">
        <f t="shared" si="3"/>
        <v>10017</v>
      </c>
    </row>
    <row r="45" spans="1:10" x14ac:dyDescent="0.2">
      <c r="A45">
        <v>1</v>
      </c>
      <c r="B45" s="15" t="s">
        <v>422</v>
      </c>
      <c r="C45" t="s">
        <v>399</v>
      </c>
      <c r="D45" t="s">
        <v>380</v>
      </c>
      <c r="E45" s="17" t="s">
        <v>375</v>
      </c>
      <c r="F45" s="17">
        <v>223656</v>
      </c>
      <c r="G45" s="17">
        <v>223706</v>
      </c>
      <c r="H45">
        <f t="shared" si="2"/>
        <v>-50</v>
      </c>
      <c r="I45">
        <v>101</v>
      </c>
      <c r="J45">
        <f t="shared" si="3"/>
        <v>7929</v>
      </c>
    </row>
    <row r="46" spans="1:10" x14ac:dyDescent="0.2">
      <c r="A46">
        <v>1</v>
      </c>
      <c r="B46" s="15" t="s">
        <v>422</v>
      </c>
      <c r="C46" t="s">
        <v>399</v>
      </c>
      <c r="D46" t="s">
        <v>380</v>
      </c>
      <c r="E46" s="17" t="s">
        <v>376</v>
      </c>
      <c r="F46" s="17">
        <v>233700</v>
      </c>
      <c r="G46" s="17">
        <v>233749</v>
      </c>
      <c r="H46">
        <f t="shared" si="2"/>
        <v>-49</v>
      </c>
      <c r="I46">
        <v>101</v>
      </c>
      <c r="J46">
        <f t="shared" si="3"/>
        <v>10044</v>
      </c>
    </row>
    <row r="47" spans="1:10" x14ac:dyDescent="0.2">
      <c r="A47">
        <v>1</v>
      </c>
      <c r="B47" s="15" t="s">
        <v>422</v>
      </c>
      <c r="C47" t="s">
        <v>399</v>
      </c>
      <c r="D47" t="s">
        <v>380</v>
      </c>
      <c r="E47" s="17" t="s">
        <v>377</v>
      </c>
      <c r="F47" s="17">
        <v>243765</v>
      </c>
      <c r="G47" s="17">
        <v>243815</v>
      </c>
      <c r="H47">
        <f t="shared" si="2"/>
        <v>-50</v>
      </c>
      <c r="I47">
        <v>101</v>
      </c>
      <c r="J47">
        <f t="shared" si="3"/>
        <v>10065</v>
      </c>
    </row>
    <row r="48" spans="1:10" x14ac:dyDescent="0.2">
      <c r="A48">
        <v>1</v>
      </c>
      <c r="B48" s="15" t="s">
        <v>422</v>
      </c>
      <c r="C48" t="s">
        <v>399</v>
      </c>
      <c r="D48" t="s">
        <v>380</v>
      </c>
      <c r="E48" s="17" t="s">
        <v>378</v>
      </c>
      <c r="F48" s="17">
        <v>253906</v>
      </c>
      <c r="G48" s="17">
        <v>253955</v>
      </c>
      <c r="H48">
        <f t="shared" si="2"/>
        <v>-49</v>
      </c>
      <c r="I48">
        <v>101</v>
      </c>
      <c r="J48">
        <f t="shared" si="3"/>
        <v>10141</v>
      </c>
    </row>
    <row r="49" spans="1:10" x14ac:dyDescent="0.2">
      <c r="A49">
        <v>1</v>
      </c>
      <c r="B49" s="15" t="s">
        <v>422</v>
      </c>
      <c r="C49" t="s">
        <v>399</v>
      </c>
      <c r="D49" t="s">
        <v>380</v>
      </c>
      <c r="E49" s="17" t="s">
        <v>384</v>
      </c>
      <c r="F49" s="17">
        <v>264095</v>
      </c>
      <c r="G49" s="17">
        <v>264143</v>
      </c>
      <c r="H49">
        <f t="shared" si="2"/>
        <v>-48</v>
      </c>
      <c r="I49">
        <v>101</v>
      </c>
      <c r="J49">
        <f t="shared" si="3"/>
        <v>10189</v>
      </c>
    </row>
    <row r="50" spans="1:10" x14ac:dyDescent="0.2">
      <c r="A50">
        <v>1</v>
      </c>
      <c r="B50" s="15" t="s">
        <v>422</v>
      </c>
      <c r="C50" t="s">
        <v>399</v>
      </c>
      <c r="D50" t="s">
        <v>380</v>
      </c>
      <c r="E50" s="17" t="s">
        <v>385</v>
      </c>
      <c r="F50" s="17">
        <v>274300</v>
      </c>
      <c r="G50" s="17">
        <v>274349</v>
      </c>
      <c r="H50">
        <f t="shared" si="2"/>
        <v>-49</v>
      </c>
      <c r="I50">
        <v>101</v>
      </c>
      <c r="J50">
        <f t="shared" si="3"/>
        <v>10205</v>
      </c>
    </row>
    <row r="51" spans="1:10" x14ac:dyDescent="0.2">
      <c r="A51">
        <v>1</v>
      </c>
      <c r="B51" s="15" t="s">
        <v>422</v>
      </c>
      <c r="C51" t="s">
        <v>399</v>
      </c>
      <c r="D51" t="s">
        <v>380</v>
      </c>
      <c r="E51" s="17" t="s">
        <v>386</v>
      </c>
      <c r="F51" s="17">
        <v>284602</v>
      </c>
      <c r="G51" s="17">
        <v>284642</v>
      </c>
      <c r="H51">
        <f t="shared" si="2"/>
        <v>-40</v>
      </c>
      <c r="I51">
        <v>101</v>
      </c>
      <c r="J51">
        <f t="shared" si="3"/>
        <v>10302</v>
      </c>
    </row>
    <row r="52" spans="1:10" x14ac:dyDescent="0.2">
      <c r="A52">
        <v>1</v>
      </c>
      <c r="B52" s="15" t="s">
        <v>422</v>
      </c>
      <c r="C52" t="s">
        <v>399</v>
      </c>
      <c r="D52" t="s">
        <v>380</v>
      </c>
      <c r="E52" s="17" t="s">
        <v>387</v>
      </c>
      <c r="F52" s="17">
        <v>294885</v>
      </c>
      <c r="G52" s="17">
        <v>294935</v>
      </c>
      <c r="H52">
        <f t="shared" si="2"/>
        <v>-50</v>
      </c>
      <c r="I52">
        <v>101</v>
      </c>
      <c r="J52">
        <f t="shared" si="3"/>
        <v>10283</v>
      </c>
    </row>
    <row r="53" spans="1:10" x14ac:dyDescent="0.2">
      <c r="A53">
        <v>1</v>
      </c>
      <c r="B53" s="15" t="s">
        <v>422</v>
      </c>
      <c r="C53" t="s">
        <v>399</v>
      </c>
      <c r="D53" t="s">
        <v>380</v>
      </c>
      <c r="E53" s="17" t="s">
        <v>388</v>
      </c>
      <c r="F53" s="17">
        <v>305256</v>
      </c>
      <c r="G53" s="17">
        <v>305306</v>
      </c>
      <c r="H53">
        <f t="shared" si="2"/>
        <v>-50</v>
      </c>
      <c r="I53">
        <v>101</v>
      </c>
      <c r="J53">
        <f t="shared" si="3"/>
        <v>10371</v>
      </c>
    </row>
    <row r="54" spans="1:10" x14ac:dyDescent="0.2">
      <c r="A54">
        <v>1</v>
      </c>
      <c r="B54" s="15" t="s">
        <v>422</v>
      </c>
      <c r="C54" t="s">
        <v>399</v>
      </c>
      <c r="D54" t="s">
        <v>380</v>
      </c>
      <c r="E54" s="17" t="s">
        <v>389</v>
      </c>
      <c r="F54" s="17">
        <v>315736</v>
      </c>
      <c r="G54" s="17">
        <v>315784</v>
      </c>
      <c r="H54">
        <f t="shared" si="2"/>
        <v>-48</v>
      </c>
      <c r="I54">
        <v>101</v>
      </c>
      <c r="J54">
        <f t="shared" si="3"/>
        <v>10480</v>
      </c>
    </row>
    <row r="55" spans="1:10" x14ac:dyDescent="0.2">
      <c r="A55">
        <v>1</v>
      </c>
      <c r="B55" s="15" t="s">
        <v>422</v>
      </c>
      <c r="C55" t="s">
        <v>399</v>
      </c>
      <c r="D55" t="s">
        <v>380</v>
      </c>
      <c r="E55" s="17" t="s">
        <v>390</v>
      </c>
      <c r="F55" s="17">
        <v>326354</v>
      </c>
      <c r="G55" s="17">
        <v>326407</v>
      </c>
      <c r="H55">
        <f t="shared" si="2"/>
        <v>-53</v>
      </c>
      <c r="I55">
        <v>101</v>
      </c>
      <c r="J55">
        <f t="shared" si="3"/>
        <v>10618</v>
      </c>
    </row>
    <row r="56" spans="1:10" x14ac:dyDescent="0.2">
      <c r="A56">
        <v>1</v>
      </c>
      <c r="B56" s="15" t="s">
        <v>422</v>
      </c>
      <c r="C56" t="s">
        <v>399</v>
      </c>
      <c r="D56" t="s">
        <v>380</v>
      </c>
      <c r="E56" s="17" t="s">
        <v>391</v>
      </c>
      <c r="F56" s="17">
        <v>336830</v>
      </c>
      <c r="G56" s="17">
        <v>336886</v>
      </c>
      <c r="H56">
        <f t="shared" si="2"/>
        <v>-56</v>
      </c>
      <c r="I56">
        <v>101</v>
      </c>
      <c r="J56">
        <f t="shared" si="3"/>
        <v>10476</v>
      </c>
    </row>
    <row r="57" spans="1:10" x14ac:dyDescent="0.2">
      <c r="A57">
        <v>1</v>
      </c>
      <c r="B57" s="15" t="s">
        <v>422</v>
      </c>
      <c r="C57" t="s">
        <v>399</v>
      </c>
      <c r="D57" t="s">
        <v>380</v>
      </c>
      <c r="E57" s="17" t="s">
        <v>392</v>
      </c>
      <c r="F57" s="17">
        <v>346709</v>
      </c>
      <c r="G57" s="17">
        <v>346757</v>
      </c>
      <c r="H57">
        <f t="shared" si="2"/>
        <v>-48</v>
      </c>
      <c r="I57">
        <v>101</v>
      </c>
      <c r="J57">
        <f t="shared" si="3"/>
        <v>9879</v>
      </c>
    </row>
    <row r="58" spans="1:10" x14ac:dyDescent="0.2">
      <c r="A58">
        <v>1</v>
      </c>
      <c r="B58" s="15" t="s">
        <v>422</v>
      </c>
      <c r="C58" t="s">
        <v>399</v>
      </c>
      <c r="D58" t="s">
        <v>380</v>
      </c>
      <c r="E58" s="17" t="s">
        <v>393</v>
      </c>
      <c r="F58" s="17">
        <v>356631</v>
      </c>
      <c r="G58" s="17">
        <v>356677</v>
      </c>
      <c r="H58">
        <f t="shared" si="2"/>
        <v>-46</v>
      </c>
      <c r="I58">
        <v>101</v>
      </c>
      <c r="J58">
        <f t="shared" si="3"/>
        <v>9922</v>
      </c>
    </row>
    <row r="59" spans="1:10" x14ac:dyDescent="0.2">
      <c r="A59">
        <v>1</v>
      </c>
      <c r="B59" s="15" t="s">
        <v>422</v>
      </c>
      <c r="C59" t="s">
        <v>399</v>
      </c>
      <c r="D59" t="s">
        <v>380</v>
      </c>
      <c r="E59" s="17" t="s">
        <v>394</v>
      </c>
      <c r="F59" s="17">
        <v>366606</v>
      </c>
      <c r="G59" s="17">
        <v>366660</v>
      </c>
      <c r="H59">
        <f t="shared" si="2"/>
        <v>-54</v>
      </c>
      <c r="I59">
        <v>101</v>
      </c>
      <c r="J59">
        <f t="shared" si="3"/>
        <v>9975</v>
      </c>
    </row>
    <row r="60" spans="1:10" x14ac:dyDescent="0.2">
      <c r="A60">
        <v>1</v>
      </c>
      <c r="B60" s="15" t="s">
        <v>422</v>
      </c>
      <c r="C60" t="s">
        <v>399</v>
      </c>
      <c r="D60" t="s">
        <v>380</v>
      </c>
      <c r="E60" s="17" t="s">
        <v>395</v>
      </c>
      <c r="F60" s="17">
        <v>376650</v>
      </c>
      <c r="G60" s="17">
        <v>376700</v>
      </c>
      <c r="H60">
        <f t="shared" si="2"/>
        <v>-50</v>
      </c>
      <c r="I60">
        <v>101</v>
      </c>
      <c r="J60">
        <f t="shared" si="3"/>
        <v>10044</v>
      </c>
    </row>
    <row r="61" spans="1:10" x14ac:dyDescent="0.2">
      <c r="A61">
        <v>1</v>
      </c>
      <c r="B61" s="15" t="s">
        <v>422</v>
      </c>
      <c r="C61" t="s">
        <v>399</v>
      </c>
      <c r="D61" t="s">
        <v>380</v>
      </c>
      <c r="E61" s="17" t="s">
        <v>396</v>
      </c>
      <c r="F61" s="17">
        <v>386799</v>
      </c>
      <c r="G61" s="17">
        <v>386851</v>
      </c>
      <c r="H61">
        <f t="shared" si="2"/>
        <v>-52</v>
      </c>
      <c r="I61">
        <v>101</v>
      </c>
      <c r="J61">
        <f t="shared" si="3"/>
        <v>10149</v>
      </c>
    </row>
    <row r="62" spans="1:10" x14ac:dyDescent="0.2">
      <c r="A62">
        <v>1</v>
      </c>
      <c r="B62" s="15" t="s">
        <v>422</v>
      </c>
      <c r="C62" t="s">
        <v>399</v>
      </c>
      <c r="D62" t="s">
        <v>401</v>
      </c>
      <c r="E62" s="17" t="s">
        <v>362</v>
      </c>
      <c r="F62" s="17">
        <v>118143</v>
      </c>
      <c r="G62" s="17">
        <v>118108</v>
      </c>
      <c r="H62">
        <f t="shared" si="2"/>
        <v>35</v>
      </c>
      <c r="I62">
        <v>41</v>
      </c>
    </row>
    <row r="63" spans="1:10" x14ac:dyDescent="0.2">
      <c r="A63">
        <v>1</v>
      </c>
      <c r="B63" s="15" t="s">
        <v>422</v>
      </c>
      <c r="C63" t="s">
        <v>399</v>
      </c>
      <c r="D63" t="s">
        <v>401</v>
      </c>
      <c r="E63" s="17" t="s">
        <v>363</v>
      </c>
      <c r="F63" s="17">
        <v>124505</v>
      </c>
      <c r="G63" s="17">
        <v>124491</v>
      </c>
      <c r="H63">
        <f t="shared" si="2"/>
        <v>14</v>
      </c>
      <c r="I63">
        <v>41</v>
      </c>
      <c r="J63">
        <f t="shared" ref="J63:J91" si="4">F63-F62</f>
        <v>6362</v>
      </c>
    </row>
    <row r="64" spans="1:10" x14ac:dyDescent="0.2">
      <c r="A64">
        <v>1</v>
      </c>
      <c r="B64" s="15" t="s">
        <v>422</v>
      </c>
      <c r="C64" t="s">
        <v>399</v>
      </c>
      <c r="D64" t="s">
        <v>401</v>
      </c>
      <c r="E64" s="17" t="s">
        <v>364</v>
      </c>
      <c r="F64" s="17">
        <v>130931</v>
      </c>
      <c r="G64" s="17">
        <v>130917</v>
      </c>
      <c r="H64">
        <f t="shared" si="2"/>
        <v>14</v>
      </c>
      <c r="I64">
        <v>41</v>
      </c>
      <c r="J64">
        <f t="shared" si="4"/>
        <v>6426</v>
      </c>
    </row>
    <row r="65" spans="1:10" x14ac:dyDescent="0.2">
      <c r="A65">
        <v>1</v>
      </c>
      <c r="B65" s="15" t="s">
        <v>422</v>
      </c>
      <c r="C65" t="s">
        <v>399</v>
      </c>
      <c r="D65" t="s">
        <v>401</v>
      </c>
      <c r="E65" s="17" t="s">
        <v>365</v>
      </c>
      <c r="F65" s="17">
        <v>137682</v>
      </c>
      <c r="G65" s="17">
        <v>137669</v>
      </c>
      <c r="H65">
        <f t="shared" si="2"/>
        <v>13</v>
      </c>
      <c r="I65">
        <v>41</v>
      </c>
      <c r="J65">
        <f t="shared" si="4"/>
        <v>6751</v>
      </c>
    </row>
    <row r="66" spans="1:10" x14ac:dyDescent="0.2">
      <c r="A66">
        <v>1</v>
      </c>
      <c r="B66" s="15" t="s">
        <v>422</v>
      </c>
      <c r="C66" t="s">
        <v>399</v>
      </c>
      <c r="D66" t="s">
        <v>401</v>
      </c>
      <c r="E66" s="17" t="s">
        <v>366</v>
      </c>
      <c r="F66" s="17">
        <v>145951</v>
      </c>
      <c r="G66" s="17">
        <v>145963</v>
      </c>
      <c r="H66">
        <f t="shared" si="2"/>
        <v>-12</v>
      </c>
      <c r="I66">
        <v>41</v>
      </c>
      <c r="J66">
        <f t="shared" si="4"/>
        <v>8269</v>
      </c>
    </row>
    <row r="67" spans="1:10" x14ac:dyDescent="0.2">
      <c r="A67">
        <v>1</v>
      </c>
      <c r="B67" s="15" t="s">
        <v>422</v>
      </c>
      <c r="C67" t="s">
        <v>399</v>
      </c>
      <c r="D67" t="s">
        <v>401</v>
      </c>
      <c r="E67" s="17" t="s">
        <v>367</v>
      </c>
      <c r="F67" s="17">
        <v>153770</v>
      </c>
      <c r="G67" s="17">
        <v>153785</v>
      </c>
      <c r="H67">
        <f t="shared" si="2"/>
        <v>-15</v>
      </c>
      <c r="I67">
        <v>41</v>
      </c>
      <c r="J67">
        <f t="shared" si="4"/>
        <v>7819</v>
      </c>
    </row>
    <row r="68" spans="1:10" x14ac:dyDescent="0.2">
      <c r="A68">
        <v>1</v>
      </c>
      <c r="B68" s="15" t="s">
        <v>422</v>
      </c>
      <c r="C68" t="s">
        <v>399</v>
      </c>
      <c r="D68" t="s">
        <v>401</v>
      </c>
      <c r="E68" s="17" t="s">
        <v>368</v>
      </c>
      <c r="F68" s="17">
        <v>161667</v>
      </c>
      <c r="G68" s="17">
        <v>161660</v>
      </c>
      <c r="H68">
        <f t="shared" si="2"/>
        <v>7</v>
      </c>
      <c r="I68">
        <v>41</v>
      </c>
      <c r="J68">
        <f t="shared" si="4"/>
        <v>7897</v>
      </c>
    </row>
    <row r="69" spans="1:10" x14ac:dyDescent="0.2">
      <c r="A69">
        <v>1</v>
      </c>
      <c r="B69" s="15" t="s">
        <v>422</v>
      </c>
      <c r="C69" t="s">
        <v>399</v>
      </c>
      <c r="D69" t="s">
        <v>401</v>
      </c>
      <c r="E69" s="17" t="s">
        <v>369</v>
      </c>
      <c r="F69" s="17">
        <v>169583</v>
      </c>
      <c r="G69" s="17">
        <v>169570</v>
      </c>
      <c r="H69">
        <f t="shared" ref="H69:H121" si="5">F69-G69</f>
        <v>13</v>
      </c>
      <c r="I69">
        <v>41</v>
      </c>
      <c r="J69">
        <f t="shared" si="4"/>
        <v>7916</v>
      </c>
    </row>
    <row r="70" spans="1:10" x14ac:dyDescent="0.2">
      <c r="A70">
        <v>1</v>
      </c>
      <c r="B70" s="15" t="s">
        <v>422</v>
      </c>
      <c r="C70" t="s">
        <v>399</v>
      </c>
      <c r="D70" t="s">
        <v>401</v>
      </c>
      <c r="E70" s="17" t="s">
        <v>370</v>
      </c>
      <c r="F70" s="17">
        <v>177398</v>
      </c>
      <c r="G70" s="17">
        <v>177386</v>
      </c>
      <c r="H70">
        <f t="shared" si="5"/>
        <v>12</v>
      </c>
      <c r="I70">
        <v>41</v>
      </c>
      <c r="J70">
        <f t="shared" si="4"/>
        <v>7815</v>
      </c>
    </row>
    <row r="71" spans="1:10" x14ac:dyDescent="0.2">
      <c r="A71">
        <v>1</v>
      </c>
      <c r="B71" s="15" t="s">
        <v>422</v>
      </c>
      <c r="C71" t="s">
        <v>399</v>
      </c>
      <c r="D71" t="s">
        <v>401</v>
      </c>
      <c r="E71" s="17" t="s">
        <v>371</v>
      </c>
      <c r="F71" s="17">
        <v>184570</v>
      </c>
      <c r="G71" s="17">
        <v>184558</v>
      </c>
      <c r="H71">
        <f t="shared" si="5"/>
        <v>12</v>
      </c>
      <c r="I71">
        <v>41</v>
      </c>
      <c r="J71">
        <f t="shared" si="4"/>
        <v>7172</v>
      </c>
    </row>
    <row r="72" spans="1:10" x14ac:dyDescent="0.2">
      <c r="A72">
        <v>1</v>
      </c>
      <c r="B72" s="15" t="s">
        <v>422</v>
      </c>
      <c r="C72" t="s">
        <v>399</v>
      </c>
      <c r="D72" t="s">
        <v>401</v>
      </c>
      <c r="E72" s="17" t="s">
        <v>372</v>
      </c>
      <c r="F72" s="17">
        <v>193531</v>
      </c>
      <c r="G72" s="17">
        <v>193539</v>
      </c>
      <c r="H72">
        <f t="shared" si="5"/>
        <v>-8</v>
      </c>
      <c r="I72">
        <v>41</v>
      </c>
      <c r="J72">
        <f t="shared" si="4"/>
        <v>8961</v>
      </c>
    </row>
    <row r="73" spans="1:10" x14ac:dyDescent="0.2">
      <c r="A73">
        <v>1</v>
      </c>
      <c r="B73" s="15" t="s">
        <v>422</v>
      </c>
      <c r="C73" t="s">
        <v>399</v>
      </c>
      <c r="D73" t="s">
        <v>401</v>
      </c>
      <c r="E73" s="17" t="s">
        <v>373</v>
      </c>
      <c r="F73" s="17">
        <v>203399</v>
      </c>
      <c r="G73" s="17">
        <v>203384</v>
      </c>
      <c r="H73">
        <f t="shared" si="5"/>
        <v>15</v>
      </c>
      <c r="I73">
        <v>41</v>
      </c>
      <c r="J73">
        <f t="shared" si="4"/>
        <v>9868</v>
      </c>
    </row>
    <row r="74" spans="1:10" x14ac:dyDescent="0.2">
      <c r="A74">
        <v>1</v>
      </c>
      <c r="B74" s="15" t="s">
        <v>422</v>
      </c>
      <c r="C74" t="s">
        <v>399</v>
      </c>
      <c r="D74" t="s">
        <v>401</v>
      </c>
      <c r="E74" s="17" t="s">
        <v>374</v>
      </c>
      <c r="F74" s="17">
        <v>213414</v>
      </c>
      <c r="G74" s="17">
        <v>213402</v>
      </c>
      <c r="H74">
        <f t="shared" si="5"/>
        <v>12</v>
      </c>
      <c r="I74">
        <v>41</v>
      </c>
      <c r="J74">
        <f t="shared" si="4"/>
        <v>10015</v>
      </c>
    </row>
    <row r="75" spans="1:10" x14ac:dyDescent="0.2">
      <c r="A75">
        <v>1</v>
      </c>
      <c r="B75" s="15" t="s">
        <v>422</v>
      </c>
      <c r="C75" t="s">
        <v>399</v>
      </c>
      <c r="D75" t="s">
        <v>401</v>
      </c>
      <c r="E75" s="17" t="s">
        <v>375</v>
      </c>
      <c r="F75" s="17">
        <v>221348</v>
      </c>
      <c r="G75" s="17">
        <v>221336</v>
      </c>
      <c r="H75">
        <f t="shared" si="5"/>
        <v>12</v>
      </c>
      <c r="I75">
        <v>41</v>
      </c>
      <c r="J75">
        <f t="shared" si="4"/>
        <v>7934</v>
      </c>
    </row>
    <row r="76" spans="1:10" x14ac:dyDescent="0.2">
      <c r="A76">
        <v>1</v>
      </c>
      <c r="B76" s="15" t="s">
        <v>422</v>
      </c>
      <c r="C76" t="s">
        <v>399</v>
      </c>
      <c r="D76" t="s">
        <v>401</v>
      </c>
      <c r="E76" s="17" t="s">
        <v>376</v>
      </c>
      <c r="F76" s="17">
        <v>231368</v>
      </c>
      <c r="G76" s="17">
        <v>231361</v>
      </c>
      <c r="H76">
        <f t="shared" si="5"/>
        <v>7</v>
      </c>
      <c r="I76">
        <v>41</v>
      </c>
      <c r="J76">
        <f t="shared" si="4"/>
        <v>10020</v>
      </c>
    </row>
    <row r="77" spans="1:10" x14ac:dyDescent="0.2">
      <c r="A77">
        <v>1</v>
      </c>
      <c r="B77" s="15" t="s">
        <v>422</v>
      </c>
      <c r="C77" t="s">
        <v>399</v>
      </c>
      <c r="D77" t="s">
        <v>401</v>
      </c>
      <c r="E77" s="17" t="s">
        <v>377</v>
      </c>
      <c r="F77" s="17">
        <v>241443</v>
      </c>
      <c r="G77" s="17">
        <v>241429</v>
      </c>
      <c r="H77">
        <f t="shared" si="5"/>
        <v>14</v>
      </c>
      <c r="I77">
        <v>41</v>
      </c>
      <c r="J77">
        <f t="shared" si="4"/>
        <v>10075</v>
      </c>
    </row>
    <row r="78" spans="1:10" x14ac:dyDescent="0.2">
      <c r="A78">
        <v>1</v>
      </c>
      <c r="B78" s="15" t="s">
        <v>422</v>
      </c>
      <c r="C78" t="s">
        <v>399</v>
      </c>
      <c r="D78" t="s">
        <v>401</v>
      </c>
      <c r="E78" s="17" t="s">
        <v>378</v>
      </c>
      <c r="F78" s="17">
        <v>251574</v>
      </c>
      <c r="G78" s="17">
        <v>251586</v>
      </c>
      <c r="H78">
        <f t="shared" si="5"/>
        <v>-12</v>
      </c>
      <c r="I78">
        <v>41</v>
      </c>
      <c r="J78">
        <f t="shared" si="4"/>
        <v>10131</v>
      </c>
    </row>
    <row r="79" spans="1:10" x14ac:dyDescent="0.2">
      <c r="A79">
        <v>1</v>
      </c>
      <c r="B79" s="15" t="s">
        <v>422</v>
      </c>
      <c r="C79" t="s">
        <v>399</v>
      </c>
      <c r="D79" t="s">
        <v>401</v>
      </c>
      <c r="E79" s="17" t="s">
        <v>384</v>
      </c>
      <c r="F79" s="17">
        <v>261776</v>
      </c>
      <c r="G79" s="17">
        <v>261767</v>
      </c>
      <c r="H79">
        <f t="shared" si="5"/>
        <v>9</v>
      </c>
      <c r="I79">
        <v>41</v>
      </c>
      <c r="J79">
        <f t="shared" si="4"/>
        <v>10202</v>
      </c>
    </row>
    <row r="80" spans="1:10" x14ac:dyDescent="0.2">
      <c r="A80">
        <v>1</v>
      </c>
      <c r="B80" s="15" t="s">
        <v>422</v>
      </c>
      <c r="C80" t="s">
        <v>399</v>
      </c>
      <c r="D80" t="s">
        <v>401</v>
      </c>
      <c r="E80" s="17" t="s">
        <v>385</v>
      </c>
      <c r="F80" s="17">
        <v>271984</v>
      </c>
      <c r="G80" s="17">
        <v>271973</v>
      </c>
      <c r="H80">
        <f t="shared" si="5"/>
        <v>11</v>
      </c>
      <c r="I80">
        <v>41</v>
      </c>
      <c r="J80">
        <f t="shared" si="4"/>
        <v>10208</v>
      </c>
    </row>
    <row r="81" spans="1:10" x14ac:dyDescent="0.2">
      <c r="A81">
        <v>1</v>
      </c>
      <c r="B81" s="15" t="s">
        <v>422</v>
      </c>
      <c r="C81" t="s">
        <v>399</v>
      </c>
      <c r="D81" t="s">
        <v>401</v>
      </c>
      <c r="E81" s="17" t="s">
        <v>386</v>
      </c>
      <c r="F81" s="17">
        <v>282285</v>
      </c>
      <c r="G81" s="17">
        <v>282270</v>
      </c>
      <c r="H81">
        <f t="shared" si="5"/>
        <v>15</v>
      </c>
      <c r="I81">
        <v>41</v>
      </c>
      <c r="J81">
        <f t="shared" si="4"/>
        <v>10301</v>
      </c>
    </row>
    <row r="82" spans="1:10" x14ac:dyDescent="0.2">
      <c r="A82">
        <v>1</v>
      </c>
      <c r="B82" s="15" t="s">
        <v>422</v>
      </c>
      <c r="C82" t="s">
        <v>399</v>
      </c>
      <c r="D82" t="s">
        <v>401</v>
      </c>
      <c r="E82" s="17" t="s">
        <v>387</v>
      </c>
      <c r="F82" s="17">
        <v>292569</v>
      </c>
      <c r="G82" s="17">
        <v>292558</v>
      </c>
      <c r="H82">
        <f t="shared" si="5"/>
        <v>11</v>
      </c>
      <c r="I82">
        <v>41</v>
      </c>
      <c r="J82">
        <f t="shared" si="4"/>
        <v>10284</v>
      </c>
    </row>
    <row r="83" spans="1:10" x14ac:dyDescent="0.2">
      <c r="A83">
        <v>1</v>
      </c>
      <c r="B83" s="15" t="s">
        <v>422</v>
      </c>
      <c r="C83" t="s">
        <v>399</v>
      </c>
      <c r="D83" t="s">
        <v>401</v>
      </c>
      <c r="E83" s="17" t="s">
        <v>388</v>
      </c>
      <c r="F83" s="17">
        <v>302938</v>
      </c>
      <c r="G83" s="17">
        <v>302928</v>
      </c>
      <c r="H83">
        <f t="shared" si="5"/>
        <v>10</v>
      </c>
      <c r="I83">
        <v>41</v>
      </c>
      <c r="J83">
        <f t="shared" si="4"/>
        <v>10369</v>
      </c>
    </row>
    <row r="84" spans="1:10" x14ac:dyDescent="0.2">
      <c r="A84">
        <v>1</v>
      </c>
      <c r="B84" s="15" t="s">
        <v>422</v>
      </c>
      <c r="C84" t="s">
        <v>399</v>
      </c>
      <c r="D84" t="s">
        <v>401</v>
      </c>
      <c r="E84" s="17" t="s">
        <v>389</v>
      </c>
      <c r="F84" s="17">
        <v>313421</v>
      </c>
      <c r="G84" s="17">
        <v>313409</v>
      </c>
      <c r="H84">
        <f t="shared" si="5"/>
        <v>12</v>
      </c>
      <c r="I84">
        <v>41</v>
      </c>
      <c r="J84">
        <f t="shared" si="4"/>
        <v>10483</v>
      </c>
    </row>
    <row r="85" spans="1:10" x14ac:dyDescent="0.2">
      <c r="A85">
        <v>1</v>
      </c>
      <c r="B85" s="15" t="s">
        <v>422</v>
      </c>
      <c r="C85" t="s">
        <v>399</v>
      </c>
      <c r="D85" t="s">
        <v>401</v>
      </c>
      <c r="E85" s="17" t="s">
        <v>390</v>
      </c>
      <c r="F85" s="17">
        <v>324047</v>
      </c>
      <c r="G85" s="17">
        <v>324034</v>
      </c>
      <c r="H85">
        <f t="shared" si="5"/>
        <v>13</v>
      </c>
      <c r="I85">
        <v>41</v>
      </c>
      <c r="J85">
        <f t="shared" si="4"/>
        <v>10626</v>
      </c>
    </row>
    <row r="86" spans="1:10" x14ac:dyDescent="0.2">
      <c r="A86">
        <v>1</v>
      </c>
      <c r="B86" s="15" t="s">
        <v>422</v>
      </c>
      <c r="C86" t="s">
        <v>399</v>
      </c>
      <c r="D86" t="s">
        <v>401</v>
      </c>
      <c r="E86" s="17" t="s">
        <v>391</v>
      </c>
      <c r="F86" s="17">
        <v>334516</v>
      </c>
      <c r="G86" s="17">
        <v>334499</v>
      </c>
      <c r="H86">
        <f t="shared" si="5"/>
        <v>17</v>
      </c>
      <c r="I86">
        <v>41</v>
      </c>
      <c r="J86">
        <f t="shared" si="4"/>
        <v>10469</v>
      </c>
    </row>
    <row r="87" spans="1:10" x14ac:dyDescent="0.2">
      <c r="A87">
        <v>1</v>
      </c>
      <c r="B87" s="15" t="s">
        <v>422</v>
      </c>
      <c r="C87" t="s">
        <v>399</v>
      </c>
      <c r="D87" t="s">
        <v>401</v>
      </c>
      <c r="E87" s="17" t="s">
        <v>392</v>
      </c>
      <c r="F87" s="17">
        <v>344386</v>
      </c>
      <c r="G87" s="17">
        <v>344366</v>
      </c>
      <c r="H87">
        <f t="shared" si="5"/>
        <v>20</v>
      </c>
      <c r="I87">
        <v>41</v>
      </c>
      <c r="J87">
        <f t="shared" si="4"/>
        <v>9870</v>
      </c>
    </row>
    <row r="88" spans="1:10" x14ac:dyDescent="0.2">
      <c r="A88">
        <v>1</v>
      </c>
      <c r="B88" s="15" t="s">
        <v>422</v>
      </c>
      <c r="C88" t="s">
        <v>399</v>
      </c>
      <c r="D88" t="s">
        <v>401</v>
      </c>
      <c r="E88" s="17" t="s">
        <v>393</v>
      </c>
      <c r="F88" s="17">
        <v>354317</v>
      </c>
      <c r="G88" s="17">
        <v>354304</v>
      </c>
      <c r="H88">
        <f t="shared" si="5"/>
        <v>13</v>
      </c>
      <c r="I88">
        <v>41</v>
      </c>
      <c r="J88">
        <f t="shared" si="4"/>
        <v>9931</v>
      </c>
    </row>
    <row r="89" spans="1:10" x14ac:dyDescent="0.2">
      <c r="A89">
        <v>1</v>
      </c>
      <c r="B89" s="15" t="s">
        <v>422</v>
      </c>
      <c r="C89" t="s">
        <v>399</v>
      </c>
      <c r="D89" t="s">
        <v>401</v>
      </c>
      <c r="E89" s="17" t="s">
        <v>394</v>
      </c>
      <c r="F89" s="17">
        <v>364302</v>
      </c>
      <c r="G89" s="17">
        <v>364288</v>
      </c>
      <c r="H89">
        <f t="shared" si="5"/>
        <v>14</v>
      </c>
      <c r="I89">
        <v>41</v>
      </c>
      <c r="J89">
        <f t="shared" si="4"/>
        <v>9985</v>
      </c>
    </row>
    <row r="90" spans="1:10" x14ac:dyDescent="0.2">
      <c r="A90">
        <v>1</v>
      </c>
      <c r="B90" s="15" t="s">
        <v>422</v>
      </c>
      <c r="C90" t="s">
        <v>399</v>
      </c>
      <c r="D90" t="s">
        <v>401</v>
      </c>
      <c r="E90" s="17" t="s">
        <v>395</v>
      </c>
      <c r="F90" s="17">
        <v>374342</v>
      </c>
      <c r="G90" s="17">
        <v>374327</v>
      </c>
      <c r="H90">
        <f t="shared" si="5"/>
        <v>15</v>
      </c>
      <c r="I90">
        <v>41</v>
      </c>
      <c r="J90">
        <f t="shared" si="4"/>
        <v>10040</v>
      </c>
    </row>
    <row r="91" spans="1:10" x14ac:dyDescent="0.2">
      <c r="A91">
        <v>1</v>
      </c>
      <c r="B91" s="15" t="s">
        <v>422</v>
      </c>
      <c r="C91" t="s">
        <v>399</v>
      </c>
      <c r="D91" t="s">
        <v>401</v>
      </c>
      <c r="E91" s="17" t="s">
        <v>396</v>
      </c>
      <c r="F91" s="17">
        <v>384482</v>
      </c>
      <c r="G91" s="17">
        <v>384466</v>
      </c>
      <c r="H91">
        <f t="shared" si="5"/>
        <v>16</v>
      </c>
      <c r="I91">
        <v>41</v>
      </c>
      <c r="J91">
        <f t="shared" si="4"/>
        <v>10140</v>
      </c>
    </row>
    <row r="92" spans="1:10" x14ac:dyDescent="0.2">
      <c r="A92">
        <v>1</v>
      </c>
      <c r="B92" s="15" t="s">
        <v>422</v>
      </c>
      <c r="C92" t="s">
        <v>399</v>
      </c>
      <c r="D92" t="s">
        <v>380</v>
      </c>
      <c r="E92" s="17" t="s">
        <v>362</v>
      </c>
      <c r="F92" s="17">
        <v>119897</v>
      </c>
      <c r="G92" s="17">
        <v>119910</v>
      </c>
      <c r="H92">
        <f t="shared" si="5"/>
        <v>-13</v>
      </c>
      <c r="I92">
        <v>41</v>
      </c>
    </row>
    <row r="93" spans="1:10" x14ac:dyDescent="0.2">
      <c r="A93">
        <v>1</v>
      </c>
      <c r="B93" s="15" t="s">
        <v>422</v>
      </c>
      <c r="C93" t="s">
        <v>399</v>
      </c>
      <c r="D93" t="s">
        <v>380</v>
      </c>
      <c r="E93" s="17" t="s">
        <v>363</v>
      </c>
      <c r="F93" s="17">
        <v>126269</v>
      </c>
      <c r="G93" s="17">
        <v>126280</v>
      </c>
      <c r="H93">
        <f t="shared" si="5"/>
        <v>-11</v>
      </c>
      <c r="I93">
        <v>41</v>
      </c>
      <c r="J93">
        <f t="shared" ref="J93:J121" si="6">F93-F92</f>
        <v>6372</v>
      </c>
    </row>
    <row r="94" spans="1:10" x14ac:dyDescent="0.2">
      <c r="A94">
        <v>1</v>
      </c>
      <c r="B94" s="15" t="s">
        <v>422</v>
      </c>
      <c r="C94" t="s">
        <v>399</v>
      </c>
      <c r="D94" t="s">
        <v>380</v>
      </c>
      <c r="E94" s="17" t="s">
        <v>364</v>
      </c>
      <c r="F94" s="17">
        <v>132686</v>
      </c>
      <c r="G94" s="17">
        <v>132698</v>
      </c>
      <c r="H94">
        <f t="shared" si="5"/>
        <v>-12</v>
      </c>
      <c r="I94">
        <v>41</v>
      </c>
      <c r="J94">
        <f t="shared" si="6"/>
        <v>6417</v>
      </c>
    </row>
    <row r="95" spans="1:10" x14ac:dyDescent="0.2">
      <c r="A95">
        <v>1</v>
      </c>
      <c r="B95" s="15" t="s">
        <v>422</v>
      </c>
      <c r="C95" t="s">
        <v>399</v>
      </c>
      <c r="D95" t="s">
        <v>380</v>
      </c>
      <c r="E95" s="17" t="s">
        <v>365</v>
      </c>
      <c r="F95" s="17">
        <v>139998</v>
      </c>
      <c r="G95" s="17">
        <v>140012</v>
      </c>
      <c r="H95">
        <f t="shared" si="5"/>
        <v>-14</v>
      </c>
      <c r="I95">
        <v>41</v>
      </c>
      <c r="J95">
        <f t="shared" si="6"/>
        <v>7312</v>
      </c>
    </row>
    <row r="96" spans="1:10" x14ac:dyDescent="0.2">
      <c r="A96">
        <v>1</v>
      </c>
      <c r="B96" s="15" t="s">
        <v>422</v>
      </c>
      <c r="C96" t="s">
        <v>399</v>
      </c>
      <c r="D96" t="s">
        <v>380</v>
      </c>
      <c r="E96" s="17" t="s">
        <v>366</v>
      </c>
      <c r="F96" s="17">
        <v>147149</v>
      </c>
      <c r="G96" s="17">
        <v>147164</v>
      </c>
      <c r="H96">
        <f t="shared" si="5"/>
        <v>-15</v>
      </c>
      <c r="I96">
        <v>41</v>
      </c>
      <c r="J96">
        <f t="shared" si="6"/>
        <v>7151</v>
      </c>
    </row>
    <row r="97" spans="1:10" x14ac:dyDescent="0.2">
      <c r="A97">
        <v>1</v>
      </c>
      <c r="B97" s="15" t="s">
        <v>422</v>
      </c>
      <c r="C97" t="s">
        <v>399</v>
      </c>
      <c r="D97" t="s">
        <v>380</v>
      </c>
      <c r="E97" s="17" t="s">
        <v>367</v>
      </c>
      <c r="F97" s="17">
        <v>154965</v>
      </c>
      <c r="G97" s="17">
        <v>154981</v>
      </c>
      <c r="H97">
        <f t="shared" si="5"/>
        <v>-16</v>
      </c>
      <c r="I97">
        <v>41</v>
      </c>
      <c r="J97">
        <f t="shared" si="6"/>
        <v>7816</v>
      </c>
    </row>
    <row r="98" spans="1:10" x14ac:dyDescent="0.2">
      <c r="A98">
        <v>1</v>
      </c>
      <c r="B98" s="15" t="s">
        <v>422</v>
      </c>
      <c r="C98" t="s">
        <v>399</v>
      </c>
      <c r="D98" t="s">
        <v>380</v>
      </c>
      <c r="E98" s="17" t="s">
        <v>368</v>
      </c>
      <c r="F98" s="17">
        <v>162821</v>
      </c>
      <c r="G98" s="17">
        <v>162833</v>
      </c>
      <c r="H98">
        <f t="shared" si="5"/>
        <v>-12</v>
      </c>
      <c r="I98">
        <v>41</v>
      </c>
      <c r="J98">
        <f t="shared" si="6"/>
        <v>7856</v>
      </c>
    </row>
    <row r="99" spans="1:10" x14ac:dyDescent="0.2">
      <c r="A99">
        <v>1</v>
      </c>
      <c r="B99" s="15" t="s">
        <v>422</v>
      </c>
      <c r="C99" t="s">
        <v>399</v>
      </c>
      <c r="D99" t="s">
        <v>380</v>
      </c>
      <c r="E99" s="17" t="s">
        <v>369</v>
      </c>
      <c r="F99" s="17">
        <v>170750</v>
      </c>
      <c r="G99" s="17">
        <v>170764</v>
      </c>
      <c r="H99">
        <f t="shared" si="5"/>
        <v>-14</v>
      </c>
      <c r="I99">
        <v>41</v>
      </c>
      <c r="J99">
        <f t="shared" si="6"/>
        <v>7929</v>
      </c>
    </row>
    <row r="100" spans="1:10" x14ac:dyDescent="0.2">
      <c r="A100">
        <v>1</v>
      </c>
      <c r="B100" s="15" t="s">
        <v>422</v>
      </c>
      <c r="C100" t="s">
        <v>399</v>
      </c>
      <c r="D100" t="s">
        <v>380</v>
      </c>
      <c r="E100" s="17" t="s">
        <v>370</v>
      </c>
      <c r="F100" s="17">
        <v>178555</v>
      </c>
      <c r="G100" s="17">
        <v>178565</v>
      </c>
      <c r="H100">
        <f t="shared" si="5"/>
        <v>-10</v>
      </c>
      <c r="I100">
        <v>41</v>
      </c>
      <c r="J100">
        <f t="shared" si="6"/>
        <v>7805</v>
      </c>
    </row>
    <row r="101" spans="1:10" x14ac:dyDescent="0.2">
      <c r="A101">
        <v>1</v>
      </c>
      <c r="B101" s="15" t="s">
        <v>422</v>
      </c>
      <c r="C101" t="s">
        <v>399</v>
      </c>
      <c r="D101" t="s">
        <v>380</v>
      </c>
      <c r="E101" s="17" t="s">
        <v>371</v>
      </c>
      <c r="F101" s="17">
        <v>186330</v>
      </c>
      <c r="G101" s="17">
        <v>186339</v>
      </c>
      <c r="H101">
        <f t="shared" si="5"/>
        <v>-9</v>
      </c>
      <c r="I101">
        <v>41</v>
      </c>
      <c r="J101">
        <f t="shared" si="6"/>
        <v>7775</v>
      </c>
    </row>
    <row r="102" spans="1:10" x14ac:dyDescent="0.2">
      <c r="A102">
        <v>1</v>
      </c>
      <c r="B102" s="15" t="s">
        <v>422</v>
      </c>
      <c r="C102" t="s">
        <v>399</v>
      </c>
      <c r="D102" t="s">
        <v>380</v>
      </c>
      <c r="E102" s="17" t="s">
        <v>372</v>
      </c>
      <c r="F102" s="17">
        <v>195857</v>
      </c>
      <c r="G102" s="17">
        <v>195876</v>
      </c>
      <c r="H102">
        <f t="shared" si="5"/>
        <v>-19</v>
      </c>
      <c r="I102">
        <v>41</v>
      </c>
      <c r="J102">
        <f t="shared" si="6"/>
        <v>9527</v>
      </c>
    </row>
    <row r="103" spans="1:10" x14ac:dyDescent="0.2">
      <c r="A103">
        <v>1</v>
      </c>
      <c r="B103" s="15" t="s">
        <v>422</v>
      </c>
      <c r="C103" t="s">
        <v>399</v>
      </c>
      <c r="D103" t="s">
        <v>380</v>
      </c>
      <c r="E103" s="17" t="s">
        <v>373</v>
      </c>
      <c r="F103" s="17">
        <v>205710</v>
      </c>
      <c r="G103" s="17">
        <v>205727</v>
      </c>
      <c r="H103">
        <f t="shared" si="5"/>
        <v>-17</v>
      </c>
      <c r="I103">
        <v>41</v>
      </c>
      <c r="J103">
        <f t="shared" si="6"/>
        <v>9853</v>
      </c>
    </row>
    <row r="104" spans="1:10" x14ac:dyDescent="0.2">
      <c r="A104">
        <v>1</v>
      </c>
      <c r="B104" s="15" t="s">
        <v>422</v>
      </c>
      <c r="C104" t="s">
        <v>399</v>
      </c>
      <c r="D104" t="s">
        <v>380</v>
      </c>
      <c r="E104" s="17" t="s">
        <v>374</v>
      </c>
      <c r="F104" s="17">
        <v>215727</v>
      </c>
      <c r="G104" s="17">
        <v>215751</v>
      </c>
      <c r="H104">
        <f t="shared" si="5"/>
        <v>-24</v>
      </c>
      <c r="I104">
        <v>41</v>
      </c>
      <c r="J104">
        <f t="shared" si="6"/>
        <v>10017</v>
      </c>
    </row>
    <row r="105" spans="1:10" x14ac:dyDescent="0.2">
      <c r="A105">
        <v>1</v>
      </c>
      <c r="B105" s="15" t="s">
        <v>422</v>
      </c>
      <c r="C105" t="s">
        <v>399</v>
      </c>
      <c r="D105" t="s">
        <v>380</v>
      </c>
      <c r="E105" s="17" t="s">
        <v>375</v>
      </c>
      <c r="F105" s="17">
        <v>223656</v>
      </c>
      <c r="G105" s="17">
        <v>223678</v>
      </c>
      <c r="H105">
        <f t="shared" si="5"/>
        <v>-22</v>
      </c>
      <c r="I105">
        <v>41</v>
      </c>
      <c r="J105">
        <f t="shared" si="6"/>
        <v>7929</v>
      </c>
    </row>
    <row r="106" spans="1:10" x14ac:dyDescent="0.2">
      <c r="A106">
        <v>1</v>
      </c>
      <c r="B106" s="15" t="s">
        <v>422</v>
      </c>
      <c r="C106" t="s">
        <v>399</v>
      </c>
      <c r="D106" t="s">
        <v>380</v>
      </c>
      <c r="E106" s="17" t="s">
        <v>376</v>
      </c>
      <c r="F106" s="17">
        <v>233700</v>
      </c>
      <c r="G106" s="17">
        <v>233724</v>
      </c>
      <c r="H106">
        <f t="shared" si="5"/>
        <v>-24</v>
      </c>
      <c r="I106">
        <v>41</v>
      </c>
      <c r="J106">
        <f t="shared" si="6"/>
        <v>10044</v>
      </c>
    </row>
    <row r="107" spans="1:10" x14ac:dyDescent="0.2">
      <c r="A107">
        <v>1</v>
      </c>
      <c r="B107" s="15" t="s">
        <v>422</v>
      </c>
      <c r="C107" t="s">
        <v>399</v>
      </c>
      <c r="D107" t="s">
        <v>380</v>
      </c>
      <c r="E107" s="17" t="s">
        <v>377</v>
      </c>
      <c r="F107" s="17">
        <v>243765</v>
      </c>
      <c r="G107" s="17">
        <v>243792</v>
      </c>
      <c r="H107">
        <f t="shared" si="5"/>
        <v>-27</v>
      </c>
      <c r="I107">
        <v>41</v>
      </c>
      <c r="J107">
        <f t="shared" si="6"/>
        <v>10065</v>
      </c>
    </row>
    <row r="108" spans="1:10" x14ac:dyDescent="0.2">
      <c r="A108">
        <v>1</v>
      </c>
      <c r="B108" s="15" t="s">
        <v>422</v>
      </c>
      <c r="C108" t="s">
        <v>399</v>
      </c>
      <c r="D108" t="s">
        <v>380</v>
      </c>
      <c r="E108" s="17" t="s">
        <v>378</v>
      </c>
      <c r="F108" s="17">
        <v>253906</v>
      </c>
      <c r="G108" s="17">
        <v>253932</v>
      </c>
      <c r="H108">
        <f t="shared" si="5"/>
        <v>-26</v>
      </c>
      <c r="I108">
        <v>41</v>
      </c>
      <c r="J108">
        <f t="shared" si="6"/>
        <v>10141</v>
      </c>
    </row>
    <row r="109" spans="1:10" x14ac:dyDescent="0.2">
      <c r="A109">
        <v>1</v>
      </c>
      <c r="B109" s="15" t="s">
        <v>422</v>
      </c>
      <c r="C109" t="s">
        <v>399</v>
      </c>
      <c r="D109" t="s">
        <v>380</v>
      </c>
      <c r="E109" s="17" t="s">
        <v>384</v>
      </c>
      <c r="F109" s="17">
        <v>264095</v>
      </c>
      <c r="G109" s="17">
        <v>264118</v>
      </c>
      <c r="H109">
        <f t="shared" si="5"/>
        <v>-23</v>
      </c>
      <c r="I109">
        <v>41</v>
      </c>
      <c r="J109">
        <f t="shared" si="6"/>
        <v>10189</v>
      </c>
    </row>
    <row r="110" spans="1:10" x14ac:dyDescent="0.2">
      <c r="A110">
        <v>1</v>
      </c>
      <c r="B110" s="15" t="s">
        <v>422</v>
      </c>
      <c r="C110" t="s">
        <v>399</v>
      </c>
      <c r="D110" t="s">
        <v>380</v>
      </c>
      <c r="E110" s="17" t="s">
        <v>385</v>
      </c>
      <c r="F110" s="17">
        <v>274300</v>
      </c>
      <c r="G110" s="17">
        <v>274321</v>
      </c>
      <c r="H110">
        <f t="shared" si="5"/>
        <v>-21</v>
      </c>
      <c r="I110">
        <v>41</v>
      </c>
      <c r="J110">
        <f t="shared" si="6"/>
        <v>10205</v>
      </c>
    </row>
    <row r="111" spans="1:10" x14ac:dyDescent="0.2">
      <c r="A111">
        <v>1</v>
      </c>
      <c r="B111" s="15" t="s">
        <v>422</v>
      </c>
      <c r="C111" t="s">
        <v>399</v>
      </c>
      <c r="D111" t="s">
        <v>380</v>
      </c>
      <c r="E111" s="17" t="s">
        <v>386</v>
      </c>
      <c r="F111" s="17">
        <v>284602</v>
      </c>
      <c r="G111" s="17">
        <v>284613</v>
      </c>
      <c r="H111">
        <f t="shared" si="5"/>
        <v>-11</v>
      </c>
      <c r="I111">
        <v>41</v>
      </c>
      <c r="J111">
        <f t="shared" si="6"/>
        <v>10302</v>
      </c>
    </row>
    <row r="112" spans="1:10" x14ac:dyDescent="0.2">
      <c r="A112">
        <v>1</v>
      </c>
      <c r="B112" s="15" t="s">
        <v>422</v>
      </c>
      <c r="C112" t="s">
        <v>399</v>
      </c>
      <c r="D112" t="s">
        <v>380</v>
      </c>
      <c r="E112" s="17" t="s">
        <v>387</v>
      </c>
      <c r="F112" s="17">
        <v>294885</v>
      </c>
      <c r="G112" s="17">
        <v>294906</v>
      </c>
      <c r="H112">
        <f t="shared" si="5"/>
        <v>-21</v>
      </c>
      <c r="I112">
        <v>41</v>
      </c>
      <c r="J112">
        <f t="shared" si="6"/>
        <v>10283</v>
      </c>
    </row>
    <row r="113" spans="1:11" x14ac:dyDescent="0.2">
      <c r="A113">
        <v>1</v>
      </c>
      <c r="B113" s="15" t="s">
        <v>422</v>
      </c>
      <c r="C113" t="s">
        <v>399</v>
      </c>
      <c r="D113" t="s">
        <v>380</v>
      </c>
      <c r="E113" s="17" t="s">
        <v>388</v>
      </c>
      <c r="F113" s="17">
        <v>305256</v>
      </c>
      <c r="G113" s="17">
        <v>305280</v>
      </c>
      <c r="H113">
        <f t="shared" si="5"/>
        <v>-24</v>
      </c>
      <c r="I113">
        <v>41</v>
      </c>
      <c r="J113">
        <f t="shared" si="6"/>
        <v>10371</v>
      </c>
    </row>
    <row r="114" spans="1:11" x14ac:dyDescent="0.2">
      <c r="A114">
        <v>1</v>
      </c>
      <c r="B114" s="15" t="s">
        <v>422</v>
      </c>
      <c r="C114" t="s">
        <v>399</v>
      </c>
      <c r="D114" t="s">
        <v>380</v>
      </c>
      <c r="E114" s="17" t="s">
        <v>389</v>
      </c>
      <c r="F114" s="17">
        <v>315736</v>
      </c>
      <c r="G114" s="17">
        <v>315761</v>
      </c>
      <c r="H114">
        <f t="shared" si="5"/>
        <v>-25</v>
      </c>
      <c r="I114">
        <v>41</v>
      </c>
      <c r="J114">
        <f t="shared" si="6"/>
        <v>10480</v>
      </c>
    </row>
    <row r="115" spans="1:11" x14ac:dyDescent="0.2">
      <c r="A115">
        <v>1</v>
      </c>
      <c r="B115" s="15" t="s">
        <v>422</v>
      </c>
      <c r="C115" t="s">
        <v>399</v>
      </c>
      <c r="D115" t="s">
        <v>380</v>
      </c>
      <c r="E115" s="17" t="s">
        <v>390</v>
      </c>
      <c r="F115" s="17">
        <v>326354</v>
      </c>
      <c r="G115" s="17">
        <v>326380</v>
      </c>
      <c r="H115">
        <f t="shared" si="5"/>
        <v>-26</v>
      </c>
      <c r="I115">
        <v>41</v>
      </c>
      <c r="J115">
        <f t="shared" si="6"/>
        <v>10618</v>
      </c>
    </row>
    <row r="116" spans="1:11" x14ac:dyDescent="0.2">
      <c r="A116">
        <v>1</v>
      </c>
      <c r="B116" s="15" t="s">
        <v>422</v>
      </c>
      <c r="C116" t="s">
        <v>399</v>
      </c>
      <c r="D116" t="s">
        <v>380</v>
      </c>
      <c r="E116" s="17" t="s">
        <v>391</v>
      </c>
      <c r="F116" s="17">
        <v>336830</v>
      </c>
      <c r="G116" s="17">
        <v>336860</v>
      </c>
      <c r="H116">
        <f t="shared" si="5"/>
        <v>-30</v>
      </c>
      <c r="I116">
        <v>41</v>
      </c>
      <c r="J116">
        <f t="shared" si="6"/>
        <v>10476</v>
      </c>
    </row>
    <row r="117" spans="1:11" x14ac:dyDescent="0.2">
      <c r="A117">
        <v>1</v>
      </c>
      <c r="B117" s="15" t="s">
        <v>422</v>
      </c>
      <c r="C117" t="s">
        <v>399</v>
      </c>
      <c r="D117" t="s">
        <v>380</v>
      </c>
      <c r="E117" s="17" t="s">
        <v>392</v>
      </c>
      <c r="F117" s="17">
        <v>346709</v>
      </c>
      <c r="G117" s="17">
        <v>346735</v>
      </c>
      <c r="H117">
        <f t="shared" si="5"/>
        <v>-26</v>
      </c>
      <c r="I117">
        <v>41</v>
      </c>
      <c r="J117">
        <f t="shared" si="6"/>
        <v>9879</v>
      </c>
    </row>
    <row r="118" spans="1:11" x14ac:dyDescent="0.2">
      <c r="A118">
        <v>1</v>
      </c>
      <c r="B118" s="15" t="s">
        <v>422</v>
      </c>
      <c r="C118" t="s">
        <v>399</v>
      </c>
      <c r="D118" t="s">
        <v>380</v>
      </c>
      <c r="E118" s="17" t="s">
        <v>393</v>
      </c>
      <c r="F118" s="17">
        <v>356631</v>
      </c>
      <c r="G118" s="17">
        <v>356655</v>
      </c>
      <c r="H118">
        <f t="shared" si="5"/>
        <v>-24</v>
      </c>
      <c r="I118">
        <v>41</v>
      </c>
      <c r="J118">
        <f t="shared" si="6"/>
        <v>9922</v>
      </c>
    </row>
    <row r="119" spans="1:11" x14ac:dyDescent="0.2">
      <c r="A119">
        <v>1</v>
      </c>
      <c r="B119" s="15" t="s">
        <v>422</v>
      </c>
      <c r="C119" t="s">
        <v>399</v>
      </c>
      <c r="D119" t="s">
        <v>380</v>
      </c>
      <c r="E119" s="17" t="s">
        <v>394</v>
      </c>
      <c r="F119" s="17">
        <v>366606</v>
      </c>
      <c r="G119" s="17">
        <v>366635</v>
      </c>
      <c r="H119">
        <f t="shared" si="5"/>
        <v>-29</v>
      </c>
      <c r="I119">
        <v>41</v>
      </c>
      <c r="J119">
        <f t="shared" si="6"/>
        <v>9975</v>
      </c>
    </row>
    <row r="120" spans="1:11" x14ac:dyDescent="0.2">
      <c r="A120">
        <v>1</v>
      </c>
      <c r="B120" s="15" t="s">
        <v>422</v>
      </c>
      <c r="C120" t="s">
        <v>399</v>
      </c>
      <c r="D120" t="s">
        <v>380</v>
      </c>
      <c r="E120" s="17" t="s">
        <v>395</v>
      </c>
      <c r="F120" s="17">
        <v>376650</v>
      </c>
      <c r="G120" s="17">
        <v>376675</v>
      </c>
      <c r="H120">
        <f t="shared" si="5"/>
        <v>-25</v>
      </c>
      <c r="I120">
        <v>41</v>
      </c>
      <c r="J120">
        <f t="shared" si="6"/>
        <v>10044</v>
      </c>
    </row>
    <row r="121" spans="1:11" x14ac:dyDescent="0.2">
      <c r="A121">
        <v>1</v>
      </c>
      <c r="B121" s="15" t="s">
        <v>422</v>
      </c>
      <c r="C121" t="s">
        <v>399</v>
      </c>
      <c r="D121" t="s">
        <v>380</v>
      </c>
      <c r="E121" s="17" t="s">
        <v>396</v>
      </c>
      <c r="F121" s="17">
        <v>386799</v>
      </c>
      <c r="G121" s="17">
        <v>386824</v>
      </c>
      <c r="H121">
        <f t="shared" si="5"/>
        <v>-25</v>
      </c>
      <c r="I121">
        <v>41</v>
      </c>
      <c r="J121">
        <f t="shared" si="6"/>
        <v>10149</v>
      </c>
    </row>
    <row r="122" spans="1:11" x14ac:dyDescent="0.2">
      <c r="A122">
        <v>2</v>
      </c>
      <c r="B122" s="15" t="s">
        <v>383</v>
      </c>
      <c r="C122" t="s">
        <v>399</v>
      </c>
      <c r="D122" t="s">
        <v>401</v>
      </c>
      <c r="E122" s="17" t="s">
        <v>362</v>
      </c>
      <c r="F122" s="17">
        <v>89361</v>
      </c>
      <c r="G122" s="17">
        <v>89355</v>
      </c>
      <c r="H122">
        <f>F122-G122</f>
        <v>6</v>
      </c>
      <c r="I122">
        <v>101</v>
      </c>
    </row>
    <row r="123" spans="1:11" x14ac:dyDescent="0.2">
      <c r="A123">
        <v>2</v>
      </c>
      <c r="B123" t="s">
        <v>161</v>
      </c>
      <c r="C123" t="s">
        <v>399</v>
      </c>
      <c r="D123" t="s">
        <v>401</v>
      </c>
      <c r="E123" s="17" t="s">
        <v>363</v>
      </c>
      <c r="F123" s="17">
        <v>100792</v>
      </c>
      <c r="G123" s="17">
        <v>100759</v>
      </c>
      <c r="H123">
        <f t="shared" ref="H123:H187" si="7">F123-G123</f>
        <v>33</v>
      </c>
      <c r="I123">
        <v>101</v>
      </c>
      <c r="J123">
        <f>F123-F122</f>
        <v>11431</v>
      </c>
      <c r="K123">
        <f>F156-F123</f>
        <v>2668</v>
      </c>
    </row>
    <row r="124" spans="1:11" x14ac:dyDescent="0.2">
      <c r="A124">
        <v>2</v>
      </c>
      <c r="B124" t="s">
        <v>161</v>
      </c>
      <c r="C124" t="s">
        <v>399</v>
      </c>
      <c r="D124" t="s">
        <v>401</v>
      </c>
      <c r="E124" s="17" t="s">
        <v>364</v>
      </c>
      <c r="F124" s="17">
        <v>112323</v>
      </c>
      <c r="G124" s="17">
        <v>112274</v>
      </c>
      <c r="H124">
        <f t="shared" si="7"/>
        <v>49</v>
      </c>
      <c r="I124">
        <v>101</v>
      </c>
      <c r="J124">
        <f t="shared" ref="J124:J187" si="8">F124-F123</f>
        <v>11531</v>
      </c>
      <c r="K124">
        <f t="shared" ref="K124:K149" si="9">F157-F124</f>
        <v>2643</v>
      </c>
    </row>
    <row r="125" spans="1:11" x14ac:dyDescent="0.2">
      <c r="A125">
        <v>2</v>
      </c>
      <c r="B125" t="s">
        <v>161</v>
      </c>
      <c r="C125" t="s">
        <v>399</v>
      </c>
      <c r="D125" t="s">
        <v>401</v>
      </c>
      <c r="E125" s="17" t="s">
        <v>365</v>
      </c>
      <c r="F125" s="17">
        <v>123828</v>
      </c>
      <c r="G125" s="17">
        <v>123795</v>
      </c>
      <c r="H125">
        <f t="shared" si="7"/>
        <v>33</v>
      </c>
      <c r="I125">
        <v>101</v>
      </c>
      <c r="J125">
        <f t="shared" si="8"/>
        <v>11505</v>
      </c>
      <c r="K125">
        <f t="shared" si="9"/>
        <v>2643</v>
      </c>
    </row>
    <row r="126" spans="1:11" x14ac:dyDescent="0.2">
      <c r="A126">
        <v>2</v>
      </c>
      <c r="B126" t="s">
        <v>161</v>
      </c>
      <c r="C126" t="s">
        <v>399</v>
      </c>
      <c r="D126" t="s">
        <v>401</v>
      </c>
      <c r="E126" s="17" t="s">
        <v>366</v>
      </c>
      <c r="F126" s="17">
        <v>135325</v>
      </c>
      <c r="G126" s="17">
        <v>135284</v>
      </c>
      <c r="H126">
        <f t="shared" si="7"/>
        <v>41</v>
      </c>
      <c r="I126">
        <v>101</v>
      </c>
      <c r="J126">
        <f t="shared" si="8"/>
        <v>11497</v>
      </c>
      <c r="K126">
        <f t="shared" si="9"/>
        <v>2674</v>
      </c>
    </row>
    <row r="127" spans="1:11" x14ac:dyDescent="0.2">
      <c r="A127">
        <v>2</v>
      </c>
      <c r="B127" t="s">
        <v>161</v>
      </c>
      <c r="C127" t="s">
        <v>399</v>
      </c>
      <c r="D127" t="s">
        <v>401</v>
      </c>
      <c r="E127" s="17" t="s">
        <v>367</v>
      </c>
      <c r="F127" s="17">
        <v>146845</v>
      </c>
      <c r="G127" s="17">
        <v>146800</v>
      </c>
      <c r="H127">
        <f t="shared" si="7"/>
        <v>45</v>
      </c>
      <c r="I127">
        <v>101</v>
      </c>
      <c r="J127">
        <f t="shared" si="8"/>
        <v>11520</v>
      </c>
      <c r="K127">
        <f t="shared" si="9"/>
        <v>2648</v>
      </c>
    </row>
    <row r="128" spans="1:11" x14ac:dyDescent="0.2">
      <c r="A128">
        <v>2</v>
      </c>
      <c r="B128" t="s">
        <v>161</v>
      </c>
      <c r="C128" t="s">
        <v>399</v>
      </c>
      <c r="D128" t="s">
        <v>401</v>
      </c>
      <c r="E128" s="17" t="s">
        <v>368</v>
      </c>
      <c r="F128" s="17">
        <v>158374</v>
      </c>
      <c r="G128" s="17">
        <v>158333</v>
      </c>
      <c r="H128">
        <f t="shared" si="7"/>
        <v>41</v>
      </c>
      <c r="I128">
        <v>101</v>
      </c>
      <c r="J128">
        <f t="shared" si="8"/>
        <v>11529</v>
      </c>
      <c r="K128">
        <f t="shared" si="9"/>
        <v>2649</v>
      </c>
    </row>
    <row r="129" spans="1:11" x14ac:dyDescent="0.2">
      <c r="A129">
        <v>2</v>
      </c>
      <c r="B129" t="s">
        <v>161</v>
      </c>
      <c r="C129" t="s">
        <v>399</v>
      </c>
      <c r="D129" t="s">
        <v>401</v>
      </c>
      <c r="E129" s="17" t="s">
        <v>369</v>
      </c>
      <c r="F129" s="17">
        <v>169856</v>
      </c>
      <c r="G129" s="17">
        <v>169790</v>
      </c>
      <c r="H129">
        <f t="shared" si="7"/>
        <v>66</v>
      </c>
      <c r="I129">
        <v>101</v>
      </c>
      <c r="J129">
        <f t="shared" si="8"/>
        <v>11482</v>
      </c>
      <c r="K129">
        <f t="shared" si="9"/>
        <v>2626</v>
      </c>
    </row>
    <row r="130" spans="1:11" x14ac:dyDescent="0.2">
      <c r="A130">
        <v>2</v>
      </c>
      <c r="B130" t="s">
        <v>161</v>
      </c>
      <c r="C130" t="s">
        <v>399</v>
      </c>
      <c r="D130" t="s">
        <v>401</v>
      </c>
      <c r="E130" s="17" t="s">
        <v>370</v>
      </c>
      <c r="F130" s="17">
        <v>181297</v>
      </c>
      <c r="G130" s="17">
        <v>181257</v>
      </c>
      <c r="H130">
        <f t="shared" si="7"/>
        <v>40</v>
      </c>
      <c r="I130">
        <v>101</v>
      </c>
      <c r="J130">
        <f t="shared" si="8"/>
        <v>11441</v>
      </c>
      <c r="K130">
        <f t="shared" si="9"/>
        <v>2648</v>
      </c>
    </row>
    <row r="131" spans="1:11" x14ac:dyDescent="0.2">
      <c r="A131">
        <v>2</v>
      </c>
      <c r="B131" t="s">
        <v>161</v>
      </c>
      <c r="C131" t="s">
        <v>399</v>
      </c>
      <c r="D131" t="s">
        <v>401</v>
      </c>
      <c r="E131" s="17" t="s">
        <v>371</v>
      </c>
      <c r="F131" s="17">
        <v>192751</v>
      </c>
      <c r="G131" s="17">
        <v>192722</v>
      </c>
      <c r="H131">
        <f t="shared" si="7"/>
        <v>29</v>
      </c>
      <c r="I131">
        <v>101</v>
      </c>
      <c r="J131">
        <f t="shared" si="8"/>
        <v>11454</v>
      </c>
      <c r="K131">
        <f t="shared" si="9"/>
        <v>2661</v>
      </c>
    </row>
    <row r="132" spans="1:11" x14ac:dyDescent="0.2">
      <c r="A132">
        <v>2</v>
      </c>
      <c r="B132" t="s">
        <v>161</v>
      </c>
      <c r="C132" t="s">
        <v>399</v>
      </c>
      <c r="D132" t="s">
        <v>401</v>
      </c>
      <c r="E132" s="17" t="s">
        <v>372</v>
      </c>
      <c r="F132" s="17">
        <v>204210</v>
      </c>
      <c r="G132" s="17">
        <v>204160</v>
      </c>
      <c r="H132">
        <f t="shared" si="7"/>
        <v>50</v>
      </c>
      <c r="I132">
        <v>101</v>
      </c>
      <c r="J132">
        <f t="shared" si="8"/>
        <v>11459</v>
      </c>
      <c r="K132">
        <f t="shared" si="9"/>
        <v>2651</v>
      </c>
    </row>
    <row r="133" spans="1:11" x14ac:dyDescent="0.2">
      <c r="A133">
        <v>2</v>
      </c>
      <c r="B133" t="s">
        <v>161</v>
      </c>
      <c r="C133" t="s">
        <v>399</v>
      </c>
      <c r="D133" t="s">
        <v>401</v>
      </c>
      <c r="E133" s="17" t="s">
        <v>373</v>
      </c>
      <c r="F133" s="17">
        <v>215642</v>
      </c>
      <c r="G133" s="17">
        <v>215606</v>
      </c>
      <c r="H133">
        <f t="shared" si="7"/>
        <v>36</v>
      </c>
      <c r="I133">
        <v>101</v>
      </c>
      <c r="J133">
        <f t="shared" si="8"/>
        <v>11432</v>
      </c>
      <c r="K133">
        <f t="shared" si="9"/>
        <v>2646</v>
      </c>
    </row>
    <row r="134" spans="1:11" x14ac:dyDescent="0.2">
      <c r="A134">
        <v>2</v>
      </c>
      <c r="B134" t="s">
        <v>161</v>
      </c>
      <c r="C134" t="s">
        <v>399</v>
      </c>
      <c r="D134" t="s">
        <v>401</v>
      </c>
      <c r="E134" s="17" t="s">
        <v>374</v>
      </c>
      <c r="F134" s="17">
        <v>227055</v>
      </c>
      <c r="G134" s="17">
        <v>226999</v>
      </c>
      <c r="H134">
        <f t="shared" si="7"/>
        <v>56</v>
      </c>
      <c r="I134">
        <v>101</v>
      </c>
      <c r="J134">
        <f t="shared" si="8"/>
        <v>11413</v>
      </c>
      <c r="K134">
        <f t="shared" si="9"/>
        <v>2643</v>
      </c>
    </row>
    <row r="135" spans="1:11" x14ac:dyDescent="0.2">
      <c r="A135">
        <v>2</v>
      </c>
      <c r="B135" t="s">
        <v>161</v>
      </c>
      <c r="C135" t="s">
        <v>399</v>
      </c>
      <c r="D135" t="s">
        <v>401</v>
      </c>
      <c r="E135" s="17" t="s">
        <v>375</v>
      </c>
      <c r="F135" s="17">
        <v>238427</v>
      </c>
      <c r="G135" s="17">
        <v>238394</v>
      </c>
      <c r="H135">
        <f t="shared" si="7"/>
        <v>33</v>
      </c>
      <c r="I135">
        <v>101</v>
      </c>
      <c r="J135">
        <f t="shared" si="8"/>
        <v>11372</v>
      </c>
      <c r="K135">
        <f t="shared" si="9"/>
        <v>2672</v>
      </c>
    </row>
    <row r="136" spans="1:11" x14ac:dyDescent="0.2">
      <c r="A136">
        <v>2</v>
      </c>
      <c r="B136" t="s">
        <v>161</v>
      </c>
      <c r="C136" t="s">
        <v>399</v>
      </c>
      <c r="D136" t="s">
        <v>401</v>
      </c>
      <c r="E136" s="17" t="s">
        <v>376</v>
      </c>
      <c r="F136" s="17">
        <v>249820</v>
      </c>
      <c r="G136" s="17">
        <v>249779</v>
      </c>
      <c r="H136">
        <f t="shared" si="7"/>
        <v>41</v>
      </c>
      <c r="I136">
        <v>101</v>
      </c>
      <c r="J136">
        <f t="shared" si="8"/>
        <v>11393</v>
      </c>
      <c r="K136">
        <f t="shared" si="9"/>
        <v>2639</v>
      </c>
    </row>
    <row r="137" spans="1:11" x14ac:dyDescent="0.2">
      <c r="A137">
        <v>2</v>
      </c>
      <c r="B137" t="s">
        <v>161</v>
      </c>
      <c r="C137" t="s">
        <v>399</v>
      </c>
      <c r="D137" t="s">
        <v>401</v>
      </c>
      <c r="E137" s="17" t="s">
        <v>377</v>
      </c>
      <c r="F137" s="17">
        <v>261175</v>
      </c>
      <c r="G137" s="17">
        <v>261140</v>
      </c>
      <c r="H137">
        <f t="shared" si="7"/>
        <v>35</v>
      </c>
      <c r="I137">
        <v>101</v>
      </c>
      <c r="J137">
        <f t="shared" si="8"/>
        <v>11355</v>
      </c>
      <c r="K137">
        <f t="shared" si="9"/>
        <v>2651</v>
      </c>
    </row>
    <row r="138" spans="1:11" x14ac:dyDescent="0.2">
      <c r="A138">
        <v>2</v>
      </c>
      <c r="B138" t="s">
        <v>161</v>
      </c>
      <c r="C138" t="s">
        <v>399</v>
      </c>
      <c r="D138" t="s">
        <v>401</v>
      </c>
      <c r="E138" s="17" t="s">
        <v>378</v>
      </c>
      <c r="F138" s="17">
        <v>272549</v>
      </c>
      <c r="G138" s="17">
        <v>272516</v>
      </c>
      <c r="H138">
        <f t="shared" si="7"/>
        <v>33</v>
      </c>
      <c r="I138">
        <v>101</v>
      </c>
      <c r="J138">
        <f t="shared" si="8"/>
        <v>11374</v>
      </c>
      <c r="K138">
        <f t="shared" si="9"/>
        <v>2656</v>
      </c>
    </row>
    <row r="139" spans="1:11" x14ac:dyDescent="0.2">
      <c r="A139">
        <v>2</v>
      </c>
      <c r="B139" t="s">
        <v>161</v>
      </c>
      <c r="C139" t="s">
        <v>399</v>
      </c>
      <c r="D139" t="s">
        <v>401</v>
      </c>
      <c r="E139" s="17" t="s">
        <v>384</v>
      </c>
      <c r="F139" s="17">
        <v>283987</v>
      </c>
      <c r="G139" s="17">
        <v>283924</v>
      </c>
      <c r="H139">
        <f t="shared" si="7"/>
        <v>63</v>
      </c>
      <c r="I139">
        <v>101</v>
      </c>
      <c r="J139">
        <f t="shared" si="8"/>
        <v>11438</v>
      </c>
      <c r="K139">
        <f t="shared" si="9"/>
        <v>2626</v>
      </c>
    </row>
    <row r="140" spans="1:11" x14ac:dyDescent="0.2">
      <c r="A140">
        <v>2</v>
      </c>
      <c r="B140" t="s">
        <v>161</v>
      </c>
      <c r="C140" t="s">
        <v>399</v>
      </c>
      <c r="D140" t="s">
        <v>401</v>
      </c>
      <c r="E140" s="17" t="s">
        <v>385</v>
      </c>
      <c r="F140" s="17">
        <v>295293</v>
      </c>
      <c r="G140" s="17">
        <v>295251</v>
      </c>
      <c r="H140">
        <f t="shared" si="7"/>
        <v>42</v>
      </c>
      <c r="I140">
        <v>101</v>
      </c>
      <c r="J140">
        <f t="shared" si="8"/>
        <v>11306</v>
      </c>
      <c r="K140">
        <f t="shared" si="9"/>
        <v>2659</v>
      </c>
    </row>
    <row r="141" spans="1:11" x14ac:dyDescent="0.2">
      <c r="A141">
        <v>2</v>
      </c>
      <c r="B141" t="s">
        <v>161</v>
      </c>
      <c r="C141" t="s">
        <v>399</v>
      </c>
      <c r="D141" t="s">
        <v>401</v>
      </c>
      <c r="E141" s="17" t="s">
        <v>386</v>
      </c>
      <c r="F141" s="17">
        <v>306673</v>
      </c>
      <c r="G141" s="17">
        <v>306611</v>
      </c>
      <c r="H141">
        <f t="shared" si="7"/>
        <v>62</v>
      </c>
      <c r="I141">
        <v>101</v>
      </c>
      <c r="J141">
        <f t="shared" si="8"/>
        <v>11380</v>
      </c>
      <c r="K141">
        <f t="shared" si="9"/>
        <v>2626</v>
      </c>
    </row>
    <row r="142" spans="1:11" x14ac:dyDescent="0.2">
      <c r="A142">
        <v>2</v>
      </c>
      <c r="B142" t="s">
        <v>161</v>
      </c>
      <c r="C142" t="s">
        <v>399</v>
      </c>
      <c r="D142" t="s">
        <v>401</v>
      </c>
      <c r="E142" s="17" t="s">
        <v>387</v>
      </c>
      <c r="F142" s="17">
        <v>317977</v>
      </c>
      <c r="G142" s="17">
        <v>317939</v>
      </c>
      <c r="H142">
        <f t="shared" si="7"/>
        <v>38</v>
      </c>
      <c r="I142">
        <v>101</v>
      </c>
      <c r="J142">
        <f t="shared" si="8"/>
        <v>11304</v>
      </c>
      <c r="K142">
        <f t="shared" si="9"/>
        <v>2649</v>
      </c>
    </row>
    <row r="143" spans="1:11" x14ac:dyDescent="0.2">
      <c r="A143">
        <v>2</v>
      </c>
      <c r="B143" t="s">
        <v>161</v>
      </c>
      <c r="C143" t="s">
        <v>399</v>
      </c>
      <c r="D143" t="s">
        <v>401</v>
      </c>
      <c r="E143" s="17" t="s">
        <v>388</v>
      </c>
      <c r="F143" s="17">
        <v>329322</v>
      </c>
      <c r="G143" s="17">
        <v>329285</v>
      </c>
      <c r="H143">
        <f t="shared" si="7"/>
        <v>37</v>
      </c>
      <c r="I143">
        <v>101</v>
      </c>
      <c r="J143">
        <f t="shared" si="8"/>
        <v>11345</v>
      </c>
      <c r="K143">
        <f t="shared" si="9"/>
        <v>2643</v>
      </c>
    </row>
    <row r="144" spans="1:11" x14ac:dyDescent="0.2">
      <c r="A144">
        <v>2</v>
      </c>
      <c r="B144" t="s">
        <v>161</v>
      </c>
      <c r="C144" t="s">
        <v>399</v>
      </c>
      <c r="D144" t="s">
        <v>401</v>
      </c>
      <c r="E144" s="17" t="s">
        <v>389</v>
      </c>
      <c r="F144" s="17">
        <v>340615</v>
      </c>
      <c r="G144" s="17">
        <v>340561</v>
      </c>
      <c r="H144">
        <f t="shared" si="7"/>
        <v>54</v>
      </c>
      <c r="I144">
        <v>101</v>
      </c>
      <c r="J144">
        <f t="shared" si="8"/>
        <v>11293</v>
      </c>
      <c r="K144">
        <f t="shared" si="9"/>
        <v>2639</v>
      </c>
    </row>
    <row r="145" spans="1:11" x14ac:dyDescent="0.2">
      <c r="A145">
        <v>2</v>
      </c>
      <c r="B145" t="s">
        <v>161</v>
      </c>
      <c r="C145" t="s">
        <v>399</v>
      </c>
      <c r="D145" t="s">
        <v>401</v>
      </c>
      <c r="E145" s="17" t="s">
        <v>390</v>
      </c>
      <c r="F145" s="17">
        <v>351917</v>
      </c>
      <c r="G145" s="17">
        <v>351868</v>
      </c>
      <c r="H145">
        <f t="shared" si="7"/>
        <v>49</v>
      </c>
      <c r="I145">
        <v>101</v>
      </c>
      <c r="J145">
        <f t="shared" si="8"/>
        <v>11302</v>
      </c>
      <c r="K145">
        <f t="shared" si="9"/>
        <v>2643</v>
      </c>
    </row>
    <row r="146" spans="1:11" x14ac:dyDescent="0.2">
      <c r="A146">
        <v>2</v>
      </c>
      <c r="B146" t="s">
        <v>161</v>
      </c>
      <c r="C146" t="s">
        <v>399</v>
      </c>
      <c r="D146" t="s">
        <v>401</v>
      </c>
      <c r="E146" s="17" t="s">
        <v>391</v>
      </c>
      <c r="F146" s="17">
        <v>363327</v>
      </c>
      <c r="G146" s="17">
        <v>363267</v>
      </c>
      <c r="H146">
        <f t="shared" si="7"/>
        <v>60</v>
      </c>
      <c r="I146">
        <v>101</v>
      </c>
      <c r="J146">
        <f t="shared" si="8"/>
        <v>11410</v>
      </c>
      <c r="K146">
        <f t="shared" si="9"/>
        <v>2638</v>
      </c>
    </row>
    <row r="147" spans="1:11" x14ac:dyDescent="0.2">
      <c r="A147">
        <v>2</v>
      </c>
      <c r="B147" t="s">
        <v>161</v>
      </c>
      <c r="C147" t="s">
        <v>399</v>
      </c>
      <c r="D147" t="s">
        <v>401</v>
      </c>
      <c r="E147" s="17" t="s">
        <v>392</v>
      </c>
      <c r="F147" s="17">
        <v>374607</v>
      </c>
      <c r="G147" s="17">
        <v>374569</v>
      </c>
      <c r="H147">
        <f t="shared" si="7"/>
        <v>38</v>
      </c>
      <c r="I147">
        <v>101</v>
      </c>
      <c r="J147">
        <f t="shared" si="8"/>
        <v>11280</v>
      </c>
      <c r="K147">
        <f t="shared" si="9"/>
        <v>2657</v>
      </c>
    </row>
    <row r="148" spans="1:11" x14ac:dyDescent="0.2">
      <c r="A148">
        <v>2</v>
      </c>
      <c r="B148" t="s">
        <v>161</v>
      </c>
      <c r="C148" t="s">
        <v>399</v>
      </c>
      <c r="D148" t="s">
        <v>401</v>
      </c>
      <c r="E148" s="17" t="s">
        <v>393</v>
      </c>
      <c r="F148" s="17">
        <v>385963</v>
      </c>
      <c r="G148" s="17">
        <v>385896</v>
      </c>
      <c r="H148">
        <f t="shared" si="7"/>
        <v>67</v>
      </c>
      <c r="I148">
        <v>101</v>
      </c>
      <c r="J148">
        <f t="shared" si="8"/>
        <v>11356</v>
      </c>
      <c r="K148">
        <f t="shared" si="9"/>
        <v>2640</v>
      </c>
    </row>
    <row r="149" spans="1:11" x14ac:dyDescent="0.2">
      <c r="A149">
        <v>2</v>
      </c>
      <c r="B149" t="s">
        <v>161</v>
      </c>
      <c r="C149" t="s">
        <v>399</v>
      </c>
      <c r="D149" t="s">
        <v>401</v>
      </c>
      <c r="E149" s="17" t="s">
        <v>394</v>
      </c>
      <c r="F149" s="17">
        <v>397356</v>
      </c>
      <c r="G149" s="17">
        <v>397311</v>
      </c>
      <c r="H149">
        <f t="shared" si="7"/>
        <v>45</v>
      </c>
      <c r="I149">
        <v>101</v>
      </c>
      <c r="J149">
        <f t="shared" si="8"/>
        <v>11393</v>
      </c>
      <c r="K149">
        <f t="shared" si="9"/>
        <v>2626</v>
      </c>
    </row>
    <row r="150" spans="1:11" x14ac:dyDescent="0.2">
      <c r="A150">
        <v>2</v>
      </c>
      <c r="B150" t="s">
        <v>161</v>
      </c>
      <c r="C150" t="s">
        <v>399</v>
      </c>
      <c r="D150" t="s">
        <v>401</v>
      </c>
      <c r="E150" s="17" t="s">
        <v>395</v>
      </c>
      <c r="F150" s="17">
        <v>408725</v>
      </c>
      <c r="G150" s="18">
        <v>408700</v>
      </c>
      <c r="H150">
        <f t="shared" si="7"/>
        <v>25</v>
      </c>
      <c r="I150">
        <v>101</v>
      </c>
      <c r="J150">
        <f t="shared" si="8"/>
        <v>11369</v>
      </c>
    </row>
    <row r="151" spans="1:11" x14ac:dyDescent="0.2">
      <c r="A151">
        <v>2</v>
      </c>
      <c r="B151" t="s">
        <v>161</v>
      </c>
      <c r="C151" t="s">
        <v>399</v>
      </c>
      <c r="D151" t="s">
        <v>401</v>
      </c>
      <c r="E151" s="19" t="s">
        <v>406</v>
      </c>
      <c r="F151" s="19">
        <v>420077</v>
      </c>
      <c r="G151" s="19">
        <v>420050</v>
      </c>
      <c r="H151">
        <f t="shared" si="7"/>
        <v>27</v>
      </c>
      <c r="I151">
        <v>101</v>
      </c>
      <c r="J151">
        <f t="shared" si="8"/>
        <v>11352</v>
      </c>
    </row>
    <row r="152" spans="1:11" x14ac:dyDescent="0.2">
      <c r="A152">
        <v>2</v>
      </c>
      <c r="B152" t="s">
        <v>161</v>
      </c>
      <c r="C152" t="s">
        <v>399</v>
      </c>
      <c r="D152" t="s">
        <v>401</v>
      </c>
      <c r="E152" s="17" t="s">
        <v>408</v>
      </c>
      <c r="F152" s="17">
        <v>431436</v>
      </c>
      <c r="G152" s="17">
        <v>431380</v>
      </c>
      <c r="H152">
        <f t="shared" si="7"/>
        <v>56</v>
      </c>
      <c r="I152">
        <v>101</v>
      </c>
      <c r="J152">
        <f t="shared" si="8"/>
        <v>11359</v>
      </c>
    </row>
    <row r="153" spans="1:11" x14ac:dyDescent="0.2">
      <c r="A153">
        <v>2</v>
      </c>
      <c r="B153" t="s">
        <v>161</v>
      </c>
      <c r="C153" t="s">
        <v>399</v>
      </c>
      <c r="D153" t="s">
        <v>401</v>
      </c>
      <c r="E153" s="17" t="s">
        <v>409</v>
      </c>
      <c r="F153" s="17">
        <v>442778</v>
      </c>
      <c r="G153" s="17">
        <v>442741</v>
      </c>
      <c r="H153">
        <f t="shared" si="7"/>
        <v>37</v>
      </c>
      <c r="I153">
        <v>101</v>
      </c>
      <c r="J153">
        <f t="shared" si="8"/>
        <v>11342</v>
      </c>
    </row>
    <row r="154" spans="1:11" x14ac:dyDescent="0.2">
      <c r="A154">
        <v>2</v>
      </c>
      <c r="B154" t="s">
        <v>161</v>
      </c>
      <c r="C154" t="s">
        <v>399</v>
      </c>
      <c r="D154" t="s">
        <v>401</v>
      </c>
      <c r="E154" s="17" t="s">
        <v>410</v>
      </c>
      <c r="F154" s="17">
        <v>454301</v>
      </c>
      <c r="G154" s="17">
        <v>454253</v>
      </c>
      <c r="H154">
        <f t="shared" si="7"/>
        <v>48</v>
      </c>
      <c r="I154">
        <v>101</v>
      </c>
      <c r="J154">
        <f t="shared" si="8"/>
        <v>11523</v>
      </c>
    </row>
    <row r="155" spans="1:11" x14ac:dyDescent="0.2">
      <c r="A155">
        <v>2</v>
      </c>
      <c r="B155" t="s">
        <v>161</v>
      </c>
      <c r="C155" t="s">
        <v>399</v>
      </c>
      <c r="D155" t="s">
        <v>380</v>
      </c>
      <c r="E155" s="17" t="s">
        <v>404</v>
      </c>
      <c r="F155" s="17">
        <v>92046</v>
      </c>
      <c r="G155" s="17">
        <v>92091</v>
      </c>
      <c r="H155">
        <f t="shared" si="7"/>
        <v>-45</v>
      </c>
      <c r="I155">
        <v>101</v>
      </c>
    </row>
    <row r="156" spans="1:11" x14ac:dyDescent="0.2">
      <c r="A156">
        <v>2</v>
      </c>
      <c r="B156" t="s">
        <v>161</v>
      </c>
      <c r="C156" t="s">
        <v>399</v>
      </c>
      <c r="D156" t="s">
        <v>380</v>
      </c>
      <c r="E156" s="17" t="s">
        <v>363</v>
      </c>
      <c r="F156" s="17">
        <v>103460</v>
      </c>
      <c r="G156" s="17">
        <v>103504</v>
      </c>
      <c r="H156">
        <f t="shared" si="7"/>
        <v>-44</v>
      </c>
      <c r="I156">
        <v>101</v>
      </c>
      <c r="J156">
        <f t="shared" si="8"/>
        <v>11414</v>
      </c>
    </row>
    <row r="157" spans="1:11" x14ac:dyDescent="0.2">
      <c r="A157">
        <v>2</v>
      </c>
      <c r="B157" t="s">
        <v>161</v>
      </c>
      <c r="C157" t="s">
        <v>399</v>
      </c>
      <c r="D157" t="s">
        <v>380</v>
      </c>
      <c r="E157" s="17" t="s">
        <v>364</v>
      </c>
      <c r="F157" s="17">
        <v>114966</v>
      </c>
      <c r="G157" s="17">
        <v>115005</v>
      </c>
      <c r="H157">
        <f t="shared" si="7"/>
        <v>-39</v>
      </c>
      <c r="I157">
        <v>101</v>
      </c>
      <c r="J157">
        <f t="shared" si="8"/>
        <v>11506</v>
      </c>
    </row>
    <row r="158" spans="1:11" x14ac:dyDescent="0.2">
      <c r="A158">
        <v>2</v>
      </c>
      <c r="B158" t="s">
        <v>161</v>
      </c>
      <c r="C158" t="s">
        <v>399</v>
      </c>
      <c r="D158" t="s">
        <v>380</v>
      </c>
      <c r="E158" s="17" t="s">
        <v>365</v>
      </c>
      <c r="F158" s="17">
        <v>126471</v>
      </c>
      <c r="G158" s="17">
        <v>126513</v>
      </c>
      <c r="H158">
        <f t="shared" si="7"/>
        <v>-42</v>
      </c>
      <c r="I158">
        <v>101</v>
      </c>
      <c r="J158">
        <f t="shared" si="8"/>
        <v>11505</v>
      </c>
    </row>
    <row r="159" spans="1:11" x14ac:dyDescent="0.2">
      <c r="A159">
        <v>2</v>
      </c>
      <c r="B159" t="s">
        <v>161</v>
      </c>
      <c r="C159" t="s">
        <v>399</v>
      </c>
      <c r="D159" t="s">
        <v>380</v>
      </c>
      <c r="E159" s="17" t="s">
        <v>366</v>
      </c>
      <c r="F159" s="17">
        <v>137999</v>
      </c>
      <c r="G159" s="17">
        <v>138039</v>
      </c>
      <c r="H159">
        <f t="shared" si="7"/>
        <v>-40</v>
      </c>
      <c r="I159">
        <v>101</v>
      </c>
      <c r="J159">
        <f t="shared" si="8"/>
        <v>11528</v>
      </c>
    </row>
    <row r="160" spans="1:11" x14ac:dyDescent="0.2">
      <c r="A160">
        <v>2</v>
      </c>
      <c r="B160" t="s">
        <v>161</v>
      </c>
      <c r="C160" t="s">
        <v>399</v>
      </c>
      <c r="D160" t="s">
        <v>380</v>
      </c>
      <c r="E160" s="17" t="s">
        <v>367</v>
      </c>
      <c r="F160" s="17">
        <v>149493</v>
      </c>
      <c r="G160" s="17">
        <v>149536</v>
      </c>
      <c r="H160">
        <f t="shared" si="7"/>
        <v>-43</v>
      </c>
      <c r="I160">
        <v>101</v>
      </c>
      <c r="J160">
        <f t="shared" si="8"/>
        <v>11494</v>
      </c>
    </row>
    <row r="161" spans="1:10" x14ac:dyDescent="0.2">
      <c r="A161">
        <v>2</v>
      </c>
      <c r="B161" t="s">
        <v>161</v>
      </c>
      <c r="C161" t="s">
        <v>399</v>
      </c>
      <c r="D161" t="s">
        <v>380</v>
      </c>
      <c r="E161" s="17" t="s">
        <v>368</v>
      </c>
      <c r="F161" s="17">
        <v>161023</v>
      </c>
      <c r="G161" s="17">
        <v>161064</v>
      </c>
      <c r="H161">
        <f t="shared" si="7"/>
        <v>-41</v>
      </c>
      <c r="I161">
        <v>101</v>
      </c>
      <c r="J161">
        <f t="shared" si="8"/>
        <v>11530</v>
      </c>
    </row>
    <row r="162" spans="1:10" x14ac:dyDescent="0.2">
      <c r="A162">
        <v>2</v>
      </c>
      <c r="B162" t="s">
        <v>161</v>
      </c>
      <c r="C162" t="s">
        <v>399</v>
      </c>
      <c r="D162" t="s">
        <v>380</v>
      </c>
      <c r="E162" s="17" t="s">
        <v>369</v>
      </c>
      <c r="F162" s="17">
        <v>172482</v>
      </c>
      <c r="G162" s="17">
        <v>172529</v>
      </c>
      <c r="H162">
        <f t="shared" si="7"/>
        <v>-47</v>
      </c>
      <c r="I162">
        <v>101</v>
      </c>
      <c r="J162">
        <f t="shared" si="8"/>
        <v>11459</v>
      </c>
    </row>
    <row r="163" spans="1:10" x14ac:dyDescent="0.2">
      <c r="A163">
        <v>2</v>
      </c>
      <c r="B163" t="s">
        <v>161</v>
      </c>
      <c r="C163" t="s">
        <v>399</v>
      </c>
      <c r="D163" t="s">
        <v>380</v>
      </c>
      <c r="E163" s="17" t="s">
        <v>370</v>
      </c>
      <c r="F163" s="17">
        <v>183945</v>
      </c>
      <c r="G163" s="17">
        <v>183985</v>
      </c>
      <c r="H163">
        <f t="shared" si="7"/>
        <v>-40</v>
      </c>
      <c r="I163">
        <v>101</v>
      </c>
      <c r="J163">
        <f t="shared" si="8"/>
        <v>11463</v>
      </c>
    </row>
    <row r="164" spans="1:10" x14ac:dyDescent="0.2">
      <c r="A164">
        <v>2</v>
      </c>
      <c r="B164" t="s">
        <v>161</v>
      </c>
      <c r="C164" t="s">
        <v>399</v>
      </c>
      <c r="D164" t="s">
        <v>380</v>
      </c>
      <c r="E164" s="17" t="s">
        <v>371</v>
      </c>
      <c r="F164" s="17">
        <v>195412</v>
      </c>
      <c r="G164" s="17">
        <v>195451</v>
      </c>
      <c r="H164">
        <f t="shared" si="7"/>
        <v>-39</v>
      </c>
      <c r="I164">
        <v>101</v>
      </c>
      <c r="J164">
        <f t="shared" si="8"/>
        <v>11467</v>
      </c>
    </row>
    <row r="165" spans="1:10" x14ac:dyDescent="0.2">
      <c r="A165">
        <v>2</v>
      </c>
      <c r="B165" t="s">
        <v>161</v>
      </c>
      <c r="C165" t="s">
        <v>399</v>
      </c>
      <c r="D165" t="s">
        <v>380</v>
      </c>
      <c r="E165" s="17" t="s">
        <v>372</v>
      </c>
      <c r="F165" s="17">
        <v>206861</v>
      </c>
      <c r="G165" s="17">
        <v>206897</v>
      </c>
      <c r="H165">
        <f t="shared" si="7"/>
        <v>-36</v>
      </c>
      <c r="I165">
        <v>101</v>
      </c>
      <c r="J165">
        <f t="shared" si="8"/>
        <v>11449</v>
      </c>
    </row>
    <row r="166" spans="1:10" x14ac:dyDescent="0.2">
      <c r="A166">
        <v>2</v>
      </c>
      <c r="B166" t="s">
        <v>161</v>
      </c>
      <c r="C166" t="s">
        <v>399</v>
      </c>
      <c r="D166" t="s">
        <v>380</v>
      </c>
      <c r="E166" s="17" t="s">
        <v>373</v>
      </c>
      <c r="F166" s="17">
        <v>218288</v>
      </c>
      <c r="G166" s="17">
        <v>218329</v>
      </c>
      <c r="H166">
        <f t="shared" si="7"/>
        <v>-41</v>
      </c>
      <c r="I166">
        <v>101</v>
      </c>
      <c r="J166">
        <f t="shared" si="8"/>
        <v>11427</v>
      </c>
    </row>
    <row r="167" spans="1:10" x14ac:dyDescent="0.2">
      <c r="A167">
        <v>2</v>
      </c>
      <c r="B167" t="s">
        <v>161</v>
      </c>
      <c r="C167" t="s">
        <v>399</v>
      </c>
      <c r="D167" t="s">
        <v>380</v>
      </c>
      <c r="E167" s="17" t="s">
        <v>374</v>
      </c>
      <c r="F167" s="17">
        <v>229698</v>
      </c>
      <c r="G167" s="17">
        <v>229741</v>
      </c>
      <c r="H167">
        <f t="shared" si="7"/>
        <v>-43</v>
      </c>
      <c r="I167">
        <v>101</v>
      </c>
      <c r="J167">
        <f t="shared" si="8"/>
        <v>11410</v>
      </c>
    </row>
    <row r="168" spans="1:10" x14ac:dyDescent="0.2">
      <c r="A168">
        <v>2</v>
      </c>
      <c r="B168" t="s">
        <v>161</v>
      </c>
      <c r="C168" t="s">
        <v>399</v>
      </c>
      <c r="D168" t="s">
        <v>380</v>
      </c>
      <c r="E168" s="17" t="s">
        <v>375</v>
      </c>
      <c r="F168" s="17">
        <v>241099</v>
      </c>
      <c r="G168" s="17">
        <v>241139</v>
      </c>
      <c r="H168">
        <f t="shared" si="7"/>
        <v>-40</v>
      </c>
      <c r="I168">
        <v>101</v>
      </c>
      <c r="J168">
        <f t="shared" si="8"/>
        <v>11401</v>
      </c>
    </row>
    <row r="169" spans="1:10" x14ac:dyDescent="0.2">
      <c r="A169">
        <v>2</v>
      </c>
      <c r="B169" t="s">
        <v>161</v>
      </c>
      <c r="C169" t="s">
        <v>399</v>
      </c>
      <c r="D169" t="s">
        <v>380</v>
      </c>
      <c r="E169" s="17" t="s">
        <v>376</v>
      </c>
      <c r="F169" s="17">
        <v>252459</v>
      </c>
      <c r="G169" s="17">
        <v>252504</v>
      </c>
      <c r="H169">
        <f t="shared" si="7"/>
        <v>-45</v>
      </c>
      <c r="I169">
        <v>101</v>
      </c>
      <c r="J169">
        <f t="shared" si="8"/>
        <v>11360</v>
      </c>
    </row>
    <row r="170" spans="1:10" x14ac:dyDescent="0.2">
      <c r="A170">
        <v>2</v>
      </c>
      <c r="B170" t="s">
        <v>161</v>
      </c>
      <c r="C170" t="s">
        <v>399</v>
      </c>
      <c r="D170" t="s">
        <v>380</v>
      </c>
      <c r="E170" s="17" t="s">
        <v>377</v>
      </c>
      <c r="F170" s="17">
        <v>263826</v>
      </c>
      <c r="G170" s="17">
        <v>263870</v>
      </c>
      <c r="H170">
        <f t="shared" si="7"/>
        <v>-44</v>
      </c>
      <c r="I170">
        <v>101</v>
      </c>
      <c r="J170">
        <f t="shared" si="8"/>
        <v>11367</v>
      </c>
    </row>
    <row r="171" spans="1:10" x14ac:dyDescent="0.2">
      <c r="A171">
        <v>2</v>
      </c>
      <c r="B171" t="s">
        <v>161</v>
      </c>
      <c r="C171" t="s">
        <v>399</v>
      </c>
      <c r="D171" t="s">
        <v>380</v>
      </c>
      <c r="E171" s="17" t="s">
        <v>378</v>
      </c>
      <c r="F171" s="17">
        <v>275205</v>
      </c>
      <c r="G171" s="17">
        <v>275246</v>
      </c>
      <c r="H171">
        <f t="shared" si="7"/>
        <v>-41</v>
      </c>
      <c r="I171">
        <v>101</v>
      </c>
      <c r="J171">
        <f t="shared" si="8"/>
        <v>11379</v>
      </c>
    </row>
    <row r="172" spans="1:10" x14ac:dyDescent="0.2">
      <c r="A172">
        <v>2</v>
      </c>
      <c r="B172" t="s">
        <v>161</v>
      </c>
      <c r="C172" t="s">
        <v>399</v>
      </c>
      <c r="D172" t="s">
        <v>380</v>
      </c>
      <c r="E172" s="17" t="s">
        <v>384</v>
      </c>
      <c r="F172" s="17">
        <v>286613</v>
      </c>
      <c r="G172" s="17">
        <v>286656</v>
      </c>
      <c r="H172">
        <f t="shared" si="7"/>
        <v>-43</v>
      </c>
      <c r="I172">
        <v>101</v>
      </c>
      <c r="J172">
        <f t="shared" si="8"/>
        <v>11408</v>
      </c>
    </row>
    <row r="173" spans="1:10" x14ac:dyDescent="0.2">
      <c r="A173">
        <v>2</v>
      </c>
      <c r="B173" t="s">
        <v>161</v>
      </c>
      <c r="C173" t="s">
        <v>399</v>
      </c>
      <c r="D173" t="s">
        <v>380</v>
      </c>
      <c r="E173" s="17" t="s">
        <v>385</v>
      </c>
      <c r="F173" s="17">
        <v>297952</v>
      </c>
      <c r="G173" s="17">
        <v>297993</v>
      </c>
      <c r="H173">
        <f t="shared" si="7"/>
        <v>-41</v>
      </c>
      <c r="I173">
        <v>101</v>
      </c>
      <c r="J173">
        <f t="shared" si="8"/>
        <v>11339</v>
      </c>
    </row>
    <row r="174" spans="1:10" x14ac:dyDescent="0.2">
      <c r="A174">
        <v>2</v>
      </c>
      <c r="B174" t="s">
        <v>161</v>
      </c>
      <c r="C174" t="s">
        <v>399</v>
      </c>
      <c r="D174" t="s">
        <v>380</v>
      </c>
      <c r="E174" s="17" t="s">
        <v>386</v>
      </c>
      <c r="F174" s="17">
        <v>309299</v>
      </c>
      <c r="G174" s="17">
        <v>309342</v>
      </c>
      <c r="H174">
        <f t="shared" si="7"/>
        <v>-43</v>
      </c>
      <c r="I174">
        <v>101</v>
      </c>
      <c r="J174">
        <f t="shared" si="8"/>
        <v>11347</v>
      </c>
    </row>
    <row r="175" spans="1:10" x14ac:dyDescent="0.2">
      <c r="A175">
        <v>2</v>
      </c>
      <c r="B175" t="s">
        <v>161</v>
      </c>
      <c r="C175" t="s">
        <v>399</v>
      </c>
      <c r="D175" t="s">
        <v>380</v>
      </c>
      <c r="E175" s="17" t="s">
        <v>387</v>
      </c>
      <c r="F175" s="17">
        <v>320626</v>
      </c>
      <c r="G175" s="17">
        <v>320668</v>
      </c>
      <c r="H175">
        <f t="shared" si="7"/>
        <v>-42</v>
      </c>
      <c r="I175">
        <v>101</v>
      </c>
      <c r="J175">
        <f t="shared" si="8"/>
        <v>11327</v>
      </c>
    </row>
    <row r="176" spans="1:10" x14ac:dyDescent="0.2">
      <c r="A176">
        <v>2</v>
      </c>
      <c r="B176" t="s">
        <v>161</v>
      </c>
      <c r="C176" t="s">
        <v>399</v>
      </c>
      <c r="D176" t="s">
        <v>380</v>
      </c>
      <c r="E176" s="17" t="s">
        <v>388</v>
      </c>
      <c r="F176" s="17">
        <v>331965</v>
      </c>
      <c r="G176" s="17">
        <v>332006</v>
      </c>
      <c r="H176">
        <f t="shared" si="7"/>
        <v>-41</v>
      </c>
      <c r="I176">
        <v>101</v>
      </c>
      <c r="J176">
        <f t="shared" si="8"/>
        <v>11339</v>
      </c>
    </row>
    <row r="177" spans="1:10" x14ac:dyDescent="0.2">
      <c r="A177">
        <v>2</v>
      </c>
      <c r="B177" t="s">
        <v>161</v>
      </c>
      <c r="C177" t="s">
        <v>399</v>
      </c>
      <c r="D177" t="s">
        <v>380</v>
      </c>
      <c r="E177" s="17" t="s">
        <v>389</v>
      </c>
      <c r="F177" s="17">
        <v>343254</v>
      </c>
      <c r="G177" s="17">
        <v>343289</v>
      </c>
      <c r="H177">
        <f t="shared" si="7"/>
        <v>-35</v>
      </c>
      <c r="I177">
        <v>101</v>
      </c>
      <c r="J177">
        <f t="shared" si="8"/>
        <v>11289</v>
      </c>
    </row>
    <row r="178" spans="1:10" x14ac:dyDescent="0.2">
      <c r="A178">
        <v>2</v>
      </c>
      <c r="B178" t="s">
        <v>161</v>
      </c>
      <c r="C178" t="s">
        <v>399</v>
      </c>
      <c r="D178" t="s">
        <v>380</v>
      </c>
      <c r="E178" s="17" t="s">
        <v>390</v>
      </c>
      <c r="F178" s="17">
        <v>354560</v>
      </c>
      <c r="G178" s="17">
        <v>354600</v>
      </c>
      <c r="H178">
        <f t="shared" si="7"/>
        <v>-40</v>
      </c>
      <c r="I178">
        <v>101</v>
      </c>
      <c r="J178">
        <f t="shared" si="8"/>
        <v>11306</v>
      </c>
    </row>
    <row r="179" spans="1:10" x14ac:dyDescent="0.2">
      <c r="A179">
        <v>2</v>
      </c>
      <c r="B179" t="s">
        <v>161</v>
      </c>
      <c r="C179" t="s">
        <v>399</v>
      </c>
      <c r="D179" t="s">
        <v>380</v>
      </c>
      <c r="E179" s="17" t="s">
        <v>391</v>
      </c>
      <c r="F179" s="17">
        <v>365965</v>
      </c>
      <c r="G179" s="17">
        <v>366009</v>
      </c>
      <c r="H179">
        <f t="shared" si="7"/>
        <v>-44</v>
      </c>
      <c r="I179">
        <v>101</v>
      </c>
      <c r="J179">
        <f t="shared" si="8"/>
        <v>11405</v>
      </c>
    </row>
    <row r="180" spans="1:10" x14ac:dyDescent="0.2">
      <c r="A180">
        <v>2</v>
      </c>
      <c r="B180" t="s">
        <v>161</v>
      </c>
      <c r="C180" t="s">
        <v>399</v>
      </c>
      <c r="D180" t="s">
        <v>380</v>
      </c>
      <c r="E180" s="17" t="s">
        <v>392</v>
      </c>
      <c r="F180" s="17">
        <v>377264</v>
      </c>
      <c r="G180" s="17">
        <v>377309</v>
      </c>
      <c r="H180">
        <f t="shared" si="7"/>
        <v>-45</v>
      </c>
      <c r="I180">
        <v>101</v>
      </c>
      <c r="J180">
        <f t="shared" si="8"/>
        <v>11299</v>
      </c>
    </row>
    <row r="181" spans="1:10" x14ac:dyDescent="0.2">
      <c r="A181">
        <v>2</v>
      </c>
      <c r="B181" t="s">
        <v>161</v>
      </c>
      <c r="C181" t="s">
        <v>399</v>
      </c>
      <c r="D181" t="s">
        <v>380</v>
      </c>
      <c r="E181" s="17" t="s">
        <v>393</v>
      </c>
      <c r="F181" s="17">
        <v>388603</v>
      </c>
      <c r="G181" s="17">
        <v>388647</v>
      </c>
      <c r="H181">
        <f t="shared" si="7"/>
        <v>-44</v>
      </c>
      <c r="I181">
        <v>101</v>
      </c>
      <c r="J181">
        <f t="shared" si="8"/>
        <v>11339</v>
      </c>
    </row>
    <row r="182" spans="1:10" x14ac:dyDescent="0.2">
      <c r="A182">
        <v>2</v>
      </c>
      <c r="B182" t="s">
        <v>161</v>
      </c>
      <c r="C182" t="s">
        <v>399</v>
      </c>
      <c r="D182" t="s">
        <v>380</v>
      </c>
      <c r="E182" s="17" t="s">
        <v>394</v>
      </c>
      <c r="F182" s="17">
        <v>399982</v>
      </c>
      <c r="G182" s="17">
        <v>400027</v>
      </c>
      <c r="H182">
        <f t="shared" si="7"/>
        <v>-45</v>
      </c>
      <c r="I182">
        <v>101</v>
      </c>
      <c r="J182">
        <f t="shared" si="8"/>
        <v>11379</v>
      </c>
    </row>
    <row r="183" spans="1:10" x14ac:dyDescent="0.2">
      <c r="A183">
        <v>2</v>
      </c>
      <c r="B183" t="s">
        <v>161</v>
      </c>
      <c r="C183" t="s">
        <v>399</v>
      </c>
      <c r="D183" t="s">
        <v>380</v>
      </c>
      <c r="E183" s="17" t="s">
        <v>395</v>
      </c>
      <c r="F183" s="17">
        <v>411375</v>
      </c>
      <c r="G183" s="17">
        <v>411422</v>
      </c>
      <c r="H183">
        <f t="shared" si="7"/>
        <v>-47</v>
      </c>
      <c r="I183">
        <v>101</v>
      </c>
      <c r="J183">
        <f t="shared" si="8"/>
        <v>11393</v>
      </c>
    </row>
    <row r="184" spans="1:10" x14ac:dyDescent="0.2">
      <c r="A184">
        <v>2</v>
      </c>
      <c r="B184" t="s">
        <v>161</v>
      </c>
      <c r="C184" t="s">
        <v>399</v>
      </c>
      <c r="D184" t="s">
        <v>380</v>
      </c>
      <c r="E184" s="17" t="s">
        <v>396</v>
      </c>
      <c r="F184" s="17">
        <v>422745</v>
      </c>
      <c r="G184" s="17">
        <v>422788</v>
      </c>
      <c r="H184">
        <f t="shared" si="7"/>
        <v>-43</v>
      </c>
      <c r="I184">
        <v>101</v>
      </c>
      <c r="J184">
        <f t="shared" si="8"/>
        <v>11370</v>
      </c>
    </row>
    <row r="185" spans="1:10" x14ac:dyDescent="0.2">
      <c r="A185">
        <v>2</v>
      </c>
      <c r="B185" t="s">
        <v>161</v>
      </c>
      <c r="C185" t="s">
        <v>399</v>
      </c>
      <c r="D185" t="s">
        <v>380</v>
      </c>
      <c r="E185" s="17" t="s">
        <v>407</v>
      </c>
      <c r="F185" s="17">
        <v>434090</v>
      </c>
      <c r="G185" s="17">
        <v>434129</v>
      </c>
      <c r="H185">
        <f t="shared" si="7"/>
        <v>-39</v>
      </c>
      <c r="I185">
        <v>101</v>
      </c>
      <c r="J185">
        <f t="shared" si="8"/>
        <v>11345</v>
      </c>
    </row>
    <row r="186" spans="1:10" x14ac:dyDescent="0.2">
      <c r="A186">
        <v>2</v>
      </c>
      <c r="B186" t="s">
        <v>161</v>
      </c>
      <c r="C186" t="s">
        <v>399</v>
      </c>
      <c r="D186" t="s">
        <v>380</v>
      </c>
      <c r="E186" s="17" t="s">
        <v>409</v>
      </c>
      <c r="F186" s="17">
        <v>445433</v>
      </c>
      <c r="G186" s="17">
        <v>445481</v>
      </c>
      <c r="H186">
        <f t="shared" si="7"/>
        <v>-48</v>
      </c>
      <c r="I186">
        <v>101</v>
      </c>
      <c r="J186">
        <f t="shared" si="8"/>
        <v>11343</v>
      </c>
    </row>
    <row r="187" spans="1:10" x14ac:dyDescent="0.2">
      <c r="A187">
        <v>2</v>
      </c>
      <c r="B187" t="s">
        <v>161</v>
      </c>
      <c r="C187" t="s">
        <v>399</v>
      </c>
      <c r="D187" t="s">
        <v>380</v>
      </c>
      <c r="E187" s="17" t="s">
        <v>410</v>
      </c>
      <c r="F187" s="17">
        <v>456945</v>
      </c>
      <c r="G187" s="17">
        <v>456989</v>
      </c>
      <c r="H187">
        <f t="shared" si="7"/>
        <v>-44</v>
      </c>
      <c r="I187">
        <v>101</v>
      </c>
      <c r="J187">
        <f t="shared" si="8"/>
        <v>11512</v>
      </c>
    </row>
    <row r="188" spans="1:10" x14ac:dyDescent="0.2">
      <c r="A188">
        <v>2</v>
      </c>
      <c r="B188" s="15" t="s">
        <v>383</v>
      </c>
      <c r="C188" t="s">
        <v>399</v>
      </c>
      <c r="D188" t="s">
        <v>401</v>
      </c>
      <c r="E188" s="17" t="s">
        <v>362</v>
      </c>
      <c r="F188" s="17">
        <v>89361</v>
      </c>
      <c r="G188" s="17">
        <v>89346</v>
      </c>
      <c r="H188">
        <f>F188-G188</f>
        <v>15</v>
      </c>
      <c r="I188">
        <v>41</v>
      </c>
    </row>
    <row r="189" spans="1:10" x14ac:dyDescent="0.2">
      <c r="A189">
        <v>2</v>
      </c>
      <c r="B189" t="s">
        <v>161</v>
      </c>
      <c r="C189" t="s">
        <v>399</v>
      </c>
      <c r="D189" t="s">
        <v>401</v>
      </c>
      <c r="E189" s="17" t="s">
        <v>363</v>
      </c>
      <c r="F189" s="17">
        <v>100792</v>
      </c>
      <c r="G189" s="17">
        <v>100765</v>
      </c>
      <c r="H189">
        <f t="shared" ref="H189:H253" si="10">F189-G189</f>
        <v>27</v>
      </c>
      <c r="I189">
        <v>41</v>
      </c>
      <c r="J189">
        <f t="shared" ref="J189:J253" si="11">F189-F188</f>
        <v>11431</v>
      </c>
    </row>
    <row r="190" spans="1:10" x14ac:dyDescent="0.2">
      <c r="A190">
        <v>2</v>
      </c>
      <c r="B190" t="s">
        <v>161</v>
      </c>
      <c r="C190" t="s">
        <v>399</v>
      </c>
      <c r="D190" t="s">
        <v>401</v>
      </c>
      <c r="E190" s="17" t="s">
        <v>364</v>
      </c>
      <c r="F190" s="17">
        <v>112323</v>
      </c>
      <c r="G190" s="17">
        <v>112305</v>
      </c>
      <c r="H190">
        <f t="shared" si="10"/>
        <v>18</v>
      </c>
      <c r="I190">
        <v>41</v>
      </c>
      <c r="J190">
        <f t="shared" si="11"/>
        <v>11531</v>
      </c>
    </row>
    <row r="191" spans="1:10" x14ac:dyDescent="0.2">
      <c r="A191">
        <v>2</v>
      </c>
      <c r="B191" t="s">
        <v>161</v>
      </c>
      <c r="C191" t="s">
        <v>399</v>
      </c>
      <c r="D191" t="s">
        <v>401</v>
      </c>
      <c r="E191" s="17" t="s">
        <v>365</v>
      </c>
      <c r="F191" s="17">
        <v>123828</v>
      </c>
      <c r="G191" s="17">
        <v>123813</v>
      </c>
      <c r="H191">
        <f t="shared" si="10"/>
        <v>15</v>
      </c>
      <c r="I191">
        <v>41</v>
      </c>
      <c r="J191">
        <f t="shared" si="11"/>
        <v>11505</v>
      </c>
    </row>
    <row r="192" spans="1:10" x14ac:dyDescent="0.2">
      <c r="A192">
        <v>2</v>
      </c>
      <c r="B192" t="s">
        <v>161</v>
      </c>
      <c r="C192" t="s">
        <v>399</v>
      </c>
      <c r="D192" t="s">
        <v>401</v>
      </c>
      <c r="E192" s="17" t="s">
        <v>366</v>
      </c>
      <c r="F192" s="17">
        <v>135325</v>
      </c>
      <c r="G192" s="17">
        <v>135305</v>
      </c>
      <c r="H192">
        <f t="shared" si="10"/>
        <v>20</v>
      </c>
      <c r="I192">
        <v>41</v>
      </c>
      <c r="J192">
        <f t="shared" si="11"/>
        <v>11497</v>
      </c>
    </row>
    <row r="193" spans="1:10" x14ac:dyDescent="0.2">
      <c r="A193">
        <v>2</v>
      </c>
      <c r="B193" t="s">
        <v>161</v>
      </c>
      <c r="C193" t="s">
        <v>399</v>
      </c>
      <c r="D193" t="s">
        <v>401</v>
      </c>
      <c r="E193" s="17" t="s">
        <v>367</v>
      </c>
      <c r="F193" s="17">
        <v>146845</v>
      </c>
      <c r="G193" s="17">
        <v>146825</v>
      </c>
      <c r="H193">
        <f t="shared" si="10"/>
        <v>20</v>
      </c>
      <c r="I193">
        <v>41</v>
      </c>
      <c r="J193">
        <f t="shared" si="11"/>
        <v>11520</v>
      </c>
    </row>
    <row r="194" spans="1:10" x14ac:dyDescent="0.2">
      <c r="A194">
        <v>2</v>
      </c>
      <c r="B194" t="s">
        <v>161</v>
      </c>
      <c r="C194" t="s">
        <v>399</v>
      </c>
      <c r="D194" t="s">
        <v>401</v>
      </c>
      <c r="E194" s="17" t="s">
        <v>368</v>
      </c>
      <c r="F194" s="17">
        <v>158374</v>
      </c>
      <c r="G194" s="17">
        <v>158356</v>
      </c>
      <c r="H194">
        <f t="shared" si="10"/>
        <v>18</v>
      </c>
      <c r="I194">
        <v>41</v>
      </c>
      <c r="J194">
        <f t="shared" si="11"/>
        <v>11529</v>
      </c>
    </row>
    <row r="195" spans="1:10" x14ac:dyDescent="0.2">
      <c r="A195">
        <v>2</v>
      </c>
      <c r="B195" t="s">
        <v>161</v>
      </c>
      <c r="C195" t="s">
        <v>399</v>
      </c>
      <c r="D195" t="s">
        <v>401</v>
      </c>
      <c r="E195" s="17" t="s">
        <v>369</v>
      </c>
      <c r="F195" s="17">
        <v>169856</v>
      </c>
      <c r="G195" s="17">
        <v>169800</v>
      </c>
      <c r="H195">
        <f t="shared" si="10"/>
        <v>56</v>
      </c>
      <c r="I195">
        <v>41</v>
      </c>
      <c r="J195">
        <f t="shared" si="11"/>
        <v>11482</v>
      </c>
    </row>
    <row r="196" spans="1:10" x14ac:dyDescent="0.2">
      <c r="A196">
        <v>2</v>
      </c>
      <c r="B196" t="s">
        <v>161</v>
      </c>
      <c r="C196" t="s">
        <v>399</v>
      </c>
      <c r="D196" t="s">
        <v>401</v>
      </c>
      <c r="E196" s="17" t="s">
        <v>370</v>
      </c>
      <c r="F196" s="17">
        <v>181297</v>
      </c>
      <c r="G196" s="17">
        <v>181291</v>
      </c>
      <c r="H196">
        <f t="shared" si="10"/>
        <v>6</v>
      </c>
      <c r="I196">
        <v>41</v>
      </c>
      <c r="J196">
        <f t="shared" si="11"/>
        <v>11441</v>
      </c>
    </row>
    <row r="197" spans="1:10" x14ac:dyDescent="0.2">
      <c r="A197">
        <v>2</v>
      </c>
      <c r="B197" t="s">
        <v>161</v>
      </c>
      <c r="C197" t="s">
        <v>399</v>
      </c>
      <c r="D197" t="s">
        <v>401</v>
      </c>
      <c r="E197" s="17" t="s">
        <v>371</v>
      </c>
      <c r="F197" s="17">
        <v>192751</v>
      </c>
      <c r="G197" s="17">
        <v>192707</v>
      </c>
      <c r="H197">
        <f t="shared" si="10"/>
        <v>44</v>
      </c>
      <c r="I197">
        <v>41</v>
      </c>
      <c r="J197">
        <f t="shared" si="11"/>
        <v>11454</v>
      </c>
    </row>
    <row r="198" spans="1:10" x14ac:dyDescent="0.2">
      <c r="A198">
        <v>2</v>
      </c>
      <c r="B198" t="s">
        <v>161</v>
      </c>
      <c r="C198" t="s">
        <v>399</v>
      </c>
      <c r="D198" t="s">
        <v>401</v>
      </c>
      <c r="E198" s="17" t="s">
        <v>372</v>
      </c>
      <c r="F198" s="17">
        <v>204210</v>
      </c>
      <c r="G198" s="17">
        <v>204203</v>
      </c>
      <c r="H198">
        <f t="shared" si="10"/>
        <v>7</v>
      </c>
      <c r="I198">
        <v>41</v>
      </c>
      <c r="J198">
        <f t="shared" si="11"/>
        <v>11459</v>
      </c>
    </row>
    <row r="199" spans="1:10" x14ac:dyDescent="0.2">
      <c r="A199">
        <v>2</v>
      </c>
      <c r="B199" t="s">
        <v>161</v>
      </c>
      <c r="C199" t="s">
        <v>399</v>
      </c>
      <c r="D199" t="s">
        <v>401</v>
      </c>
      <c r="E199" s="17" t="s">
        <v>373</v>
      </c>
      <c r="F199" s="17">
        <v>215642</v>
      </c>
      <c r="G199" s="17">
        <v>215622</v>
      </c>
      <c r="H199">
        <f t="shared" si="10"/>
        <v>20</v>
      </c>
      <c r="I199">
        <v>41</v>
      </c>
      <c r="J199">
        <f t="shared" si="11"/>
        <v>11432</v>
      </c>
    </row>
    <row r="200" spans="1:10" x14ac:dyDescent="0.2">
      <c r="A200">
        <v>2</v>
      </c>
      <c r="B200" t="s">
        <v>161</v>
      </c>
      <c r="C200" t="s">
        <v>399</v>
      </c>
      <c r="D200" t="s">
        <v>401</v>
      </c>
      <c r="E200" s="17" t="s">
        <v>374</v>
      </c>
      <c r="F200" s="17">
        <v>227055</v>
      </c>
      <c r="G200" s="17">
        <v>227031</v>
      </c>
      <c r="H200">
        <f t="shared" si="10"/>
        <v>24</v>
      </c>
      <c r="I200">
        <v>41</v>
      </c>
      <c r="J200">
        <f t="shared" si="11"/>
        <v>11413</v>
      </c>
    </row>
    <row r="201" spans="1:10" x14ac:dyDescent="0.2">
      <c r="A201">
        <v>2</v>
      </c>
      <c r="B201" s="15" t="s">
        <v>411</v>
      </c>
      <c r="C201" t="s">
        <v>399</v>
      </c>
      <c r="D201" t="s">
        <v>401</v>
      </c>
      <c r="E201" s="17" t="s">
        <v>375</v>
      </c>
      <c r="F201" s="17">
        <v>238427</v>
      </c>
      <c r="G201" s="17">
        <v>238442</v>
      </c>
      <c r="H201">
        <f t="shared" si="10"/>
        <v>-15</v>
      </c>
      <c r="I201">
        <v>41</v>
      </c>
      <c r="J201">
        <f t="shared" si="11"/>
        <v>11372</v>
      </c>
    </row>
    <row r="202" spans="1:10" x14ac:dyDescent="0.2">
      <c r="A202">
        <v>2</v>
      </c>
      <c r="B202" t="s">
        <v>161</v>
      </c>
      <c r="C202" t="s">
        <v>399</v>
      </c>
      <c r="D202" t="s">
        <v>401</v>
      </c>
      <c r="E202" s="17" t="s">
        <v>376</v>
      </c>
      <c r="F202" s="17">
        <v>249820</v>
      </c>
      <c r="G202" s="17">
        <v>249808</v>
      </c>
      <c r="H202">
        <f t="shared" si="10"/>
        <v>12</v>
      </c>
      <c r="I202">
        <v>41</v>
      </c>
      <c r="J202">
        <f t="shared" si="11"/>
        <v>11393</v>
      </c>
    </row>
    <row r="203" spans="1:10" x14ac:dyDescent="0.2">
      <c r="A203">
        <v>2</v>
      </c>
      <c r="B203" t="s">
        <v>161</v>
      </c>
      <c r="C203" t="s">
        <v>399</v>
      </c>
      <c r="D203" t="s">
        <v>401</v>
      </c>
      <c r="E203" s="17" t="s">
        <v>377</v>
      </c>
      <c r="F203" s="17">
        <v>261175</v>
      </c>
      <c r="G203" s="17">
        <v>261155</v>
      </c>
      <c r="H203">
        <f t="shared" si="10"/>
        <v>20</v>
      </c>
      <c r="I203">
        <v>41</v>
      </c>
      <c r="J203">
        <f t="shared" si="11"/>
        <v>11355</v>
      </c>
    </row>
    <row r="204" spans="1:10" x14ac:dyDescent="0.2">
      <c r="A204">
        <v>2</v>
      </c>
      <c r="B204" t="s">
        <v>161</v>
      </c>
      <c r="C204" t="s">
        <v>399</v>
      </c>
      <c r="D204" t="s">
        <v>401</v>
      </c>
      <c r="E204" s="17" t="s">
        <v>378</v>
      </c>
      <c r="F204" s="17">
        <v>272549</v>
      </c>
      <c r="G204" s="17">
        <v>272535</v>
      </c>
      <c r="H204">
        <f t="shared" si="10"/>
        <v>14</v>
      </c>
      <c r="I204">
        <v>41</v>
      </c>
      <c r="J204">
        <f t="shared" si="11"/>
        <v>11374</v>
      </c>
    </row>
    <row r="205" spans="1:10" x14ac:dyDescent="0.2">
      <c r="A205">
        <v>2</v>
      </c>
      <c r="B205" t="s">
        <v>161</v>
      </c>
      <c r="C205" t="s">
        <v>399</v>
      </c>
      <c r="D205" t="s">
        <v>401</v>
      </c>
      <c r="E205" s="17" t="s">
        <v>384</v>
      </c>
      <c r="F205" s="17">
        <v>283987</v>
      </c>
      <c r="G205" s="17">
        <v>283943</v>
      </c>
      <c r="H205">
        <f t="shared" si="10"/>
        <v>44</v>
      </c>
      <c r="I205">
        <v>41</v>
      </c>
      <c r="J205">
        <f t="shared" si="11"/>
        <v>11438</v>
      </c>
    </row>
    <row r="206" spans="1:10" x14ac:dyDescent="0.2">
      <c r="A206">
        <v>2</v>
      </c>
      <c r="B206" t="s">
        <v>161</v>
      </c>
      <c r="C206" t="s">
        <v>399</v>
      </c>
      <c r="D206" t="s">
        <v>401</v>
      </c>
      <c r="E206" s="17" t="s">
        <v>385</v>
      </c>
      <c r="F206" s="17">
        <v>295293</v>
      </c>
      <c r="G206" s="17">
        <v>295281</v>
      </c>
      <c r="H206">
        <f t="shared" si="10"/>
        <v>12</v>
      </c>
      <c r="I206">
        <v>41</v>
      </c>
      <c r="J206">
        <f t="shared" si="11"/>
        <v>11306</v>
      </c>
    </row>
    <row r="207" spans="1:10" x14ac:dyDescent="0.2">
      <c r="A207">
        <v>2</v>
      </c>
      <c r="B207" t="s">
        <v>161</v>
      </c>
      <c r="C207" t="s">
        <v>399</v>
      </c>
      <c r="D207" t="s">
        <v>401</v>
      </c>
      <c r="E207" s="17" t="s">
        <v>386</v>
      </c>
      <c r="F207" s="17">
        <v>306673</v>
      </c>
      <c r="G207" s="17">
        <v>306653</v>
      </c>
      <c r="H207">
        <f t="shared" si="10"/>
        <v>20</v>
      </c>
      <c r="I207">
        <v>41</v>
      </c>
      <c r="J207">
        <f t="shared" si="11"/>
        <v>11380</v>
      </c>
    </row>
    <row r="208" spans="1:10" x14ac:dyDescent="0.2">
      <c r="A208">
        <v>2</v>
      </c>
      <c r="B208" t="s">
        <v>161</v>
      </c>
      <c r="C208" t="s">
        <v>399</v>
      </c>
      <c r="D208" t="s">
        <v>401</v>
      </c>
      <c r="E208" s="17" t="s">
        <v>387</v>
      </c>
      <c r="F208" s="17">
        <v>317977</v>
      </c>
      <c r="G208" s="17">
        <v>317960</v>
      </c>
      <c r="H208">
        <f t="shared" si="10"/>
        <v>17</v>
      </c>
      <c r="I208">
        <v>41</v>
      </c>
      <c r="J208">
        <f t="shared" si="11"/>
        <v>11304</v>
      </c>
    </row>
    <row r="209" spans="1:10" x14ac:dyDescent="0.2">
      <c r="A209">
        <v>2</v>
      </c>
      <c r="B209" t="s">
        <v>161</v>
      </c>
      <c r="C209" t="s">
        <v>399</v>
      </c>
      <c r="D209" t="s">
        <v>401</v>
      </c>
      <c r="E209" s="17" t="s">
        <v>388</v>
      </c>
      <c r="F209" s="17">
        <v>329322</v>
      </c>
      <c r="G209" s="17">
        <v>329304</v>
      </c>
      <c r="H209">
        <f t="shared" si="10"/>
        <v>18</v>
      </c>
      <c r="I209">
        <v>41</v>
      </c>
      <c r="J209">
        <f t="shared" si="11"/>
        <v>11345</v>
      </c>
    </row>
    <row r="210" spans="1:10" x14ac:dyDescent="0.2">
      <c r="A210">
        <v>2</v>
      </c>
      <c r="B210" t="s">
        <v>161</v>
      </c>
      <c r="C210" t="s">
        <v>399</v>
      </c>
      <c r="D210" t="s">
        <v>401</v>
      </c>
      <c r="E210" s="17" t="s">
        <v>389</v>
      </c>
      <c r="F210" s="17">
        <v>340615</v>
      </c>
      <c r="G210" s="17">
        <v>340571</v>
      </c>
      <c r="H210">
        <f t="shared" si="10"/>
        <v>44</v>
      </c>
      <c r="I210">
        <v>41</v>
      </c>
      <c r="J210">
        <f t="shared" si="11"/>
        <v>11293</v>
      </c>
    </row>
    <row r="211" spans="1:10" x14ac:dyDescent="0.2">
      <c r="A211">
        <v>2</v>
      </c>
      <c r="B211" t="s">
        <v>161</v>
      </c>
      <c r="C211" t="s">
        <v>399</v>
      </c>
      <c r="D211" t="s">
        <v>401</v>
      </c>
      <c r="E211" s="17" t="s">
        <v>390</v>
      </c>
      <c r="F211" s="17">
        <v>351917</v>
      </c>
      <c r="G211" s="17">
        <v>351897</v>
      </c>
      <c r="H211">
        <f t="shared" si="10"/>
        <v>20</v>
      </c>
      <c r="I211">
        <v>41</v>
      </c>
      <c r="J211">
        <f t="shared" si="11"/>
        <v>11302</v>
      </c>
    </row>
    <row r="212" spans="1:10" x14ac:dyDescent="0.2">
      <c r="A212">
        <v>2</v>
      </c>
      <c r="B212" t="s">
        <v>161</v>
      </c>
      <c r="C212" t="s">
        <v>399</v>
      </c>
      <c r="D212" t="s">
        <v>401</v>
      </c>
      <c r="E212" s="17" t="s">
        <v>391</v>
      </c>
      <c r="F212" s="17">
        <v>363327</v>
      </c>
      <c r="G212" s="17">
        <v>363311</v>
      </c>
      <c r="H212">
        <f t="shared" si="10"/>
        <v>16</v>
      </c>
      <c r="I212">
        <v>41</v>
      </c>
      <c r="J212">
        <f t="shared" si="11"/>
        <v>11410</v>
      </c>
    </row>
    <row r="213" spans="1:10" x14ac:dyDescent="0.2">
      <c r="A213">
        <v>2</v>
      </c>
      <c r="B213" t="s">
        <v>161</v>
      </c>
      <c r="C213" t="s">
        <v>399</v>
      </c>
      <c r="D213" t="s">
        <v>401</v>
      </c>
      <c r="E213" s="17" t="s">
        <v>392</v>
      </c>
      <c r="F213" s="17">
        <v>374607</v>
      </c>
      <c r="G213" s="17">
        <v>374588</v>
      </c>
      <c r="H213">
        <f t="shared" si="10"/>
        <v>19</v>
      </c>
      <c r="I213">
        <v>41</v>
      </c>
      <c r="J213">
        <f t="shared" si="11"/>
        <v>11280</v>
      </c>
    </row>
    <row r="214" spans="1:10" x14ac:dyDescent="0.2">
      <c r="A214">
        <v>2</v>
      </c>
      <c r="B214" t="s">
        <v>161</v>
      </c>
      <c r="C214" t="s">
        <v>399</v>
      </c>
      <c r="D214" t="s">
        <v>401</v>
      </c>
      <c r="E214" s="17" t="s">
        <v>393</v>
      </c>
      <c r="F214" s="17">
        <v>385963</v>
      </c>
      <c r="G214" s="17">
        <v>385943</v>
      </c>
      <c r="H214">
        <f t="shared" si="10"/>
        <v>20</v>
      </c>
      <c r="I214">
        <v>41</v>
      </c>
      <c r="J214">
        <f t="shared" si="11"/>
        <v>11356</v>
      </c>
    </row>
    <row r="215" spans="1:10" x14ac:dyDescent="0.2">
      <c r="A215">
        <v>2</v>
      </c>
      <c r="B215" t="s">
        <v>161</v>
      </c>
      <c r="C215" t="s">
        <v>399</v>
      </c>
      <c r="D215" t="s">
        <v>401</v>
      </c>
      <c r="E215" s="17" t="s">
        <v>394</v>
      </c>
      <c r="F215" s="17">
        <v>397356</v>
      </c>
      <c r="G215" s="17">
        <v>397298</v>
      </c>
      <c r="H215">
        <f t="shared" si="10"/>
        <v>58</v>
      </c>
      <c r="I215">
        <v>41</v>
      </c>
      <c r="J215">
        <f t="shared" si="11"/>
        <v>11393</v>
      </c>
    </row>
    <row r="216" spans="1:10" x14ac:dyDescent="0.2">
      <c r="A216">
        <v>2</v>
      </c>
      <c r="B216" t="s">
        <v>161</v>
      </c>
      <c r="C216" t="s">
        <v>399</v>
      </c>
      <c r="D216" t="s">
        <v>401</v>
      </c>
      <c r="E216" s="17" t="s">
        <v>395</v>
      </c>
      <c r="F216" s="17">
        <v>408725</v>
      </c>
      <c r="G216" s="17">
        <v>408706</v>
      </c>
      <c r="H216">
        <f t="shared" si="10"/>
        <v>19</v>
      </c>
      <c r="I216">
        <v>41</v>
      </c>
      <c r="J216">
        <f t="shared" si="11"/>
        <v>11369</v>
      </c>
    </row>
    <row r="217" spans="1:10" x14ac:dyDescent="0.2">
      <c r="A217">
        <v>2</v>
      </c>
      <c r="B217" t="s">
        <v>161</v>
      </c>
      <c r="C217" t="s">
        <v>399</v>
      </c>
      <c r="D217" t="s">
        <v>401</v>
      </c>
      <c r="E217" s="19" t="s">
        <v>396</v>
      </c>
      <c r="F217" s="19">
        <v>420077</v>
      </c>
      <c r="G217" s="19">
        <v>420084</v>
      </c>
      <c r="H217">
        <f t="shared" si="10"/>
        <v>-7</v>
      </c>
      <c r="I217">
        <v>41</v>
      </c>
      <c r="J217">
        <f t="shared" si="11"/>
        <v>11352</v>
      </c>
    </row>
    <row r="218" spans="1:10" x14ac:dyDescent="0.2">
      <c r="A218">
        <v>2</v>
      </c>
      <c r="B218" t="s">
        <v>161</v>
      </c>
      <c r="C218" t="s">
        <v>399</v>
      </c>
      <c r="D218" t="s">
        <v>401</v>
      </c>
      <c r="E218" s="17" t="s">
        <v>407</v>
      </c>
      <c r="F218" s="17">
        <v>431436</v>
      </c>
      <c r="G218" s="17">
        <v>431390</v>
      </c>
      <c r="H218">
        <f t="shared" si="10"/>
        <v>46</v>
      </c>
      <c r="I218">
        <v>41</v>
      </c>
      <c r="J218">
        <f t="shared" si="11"/>
        <v>11359</v>
      </c>
    </row>
    <row r="219" spans="1:10" x14ac:dyDescent="0.2">
      <c r="A219">
        <v>2</v>
      </c>
      <c r="B219" t="s">
        <v>161</v>
      </c>
      <c r="C219" t="s">
        <v>399</v>
      </c>
      <c r="D219" t="s">
        <v>401</v>
      </c>
      <c r="E219" s="17" t="s">
        <v>409</v>
      </c>
      <c r="F219" s="17">
        <v>442778</v>
      </c>
      <c r="G219" s="17">
        <v>442795</v>
      </c>
      <c r="H219">
        <f t="shared" si="10"/>
        <v>-17</v>
      </c>
      <c r="I219">
        <v>41</v>
      </c>
      <c r="J219">
        <f t="shared" si="11"/>
        <v>11342</v>
      </c>
    </row>
    <row r="220" spans="1:10" x14ac:dyDescent="0.2">
      <c r="A220">
        <v>2</v>
      </c>
      <c r="B220" t="s">
        <v>161</v>
      </c>
      <c r="C220" t="s">
        <v>399</v>
      </c>
      <c r="D220" t="s">
        <v>401</v>
      </c>
      <c r="E220" s="17" t="s">
        <v>410</v>
      </c>
      <c r="F220" s="17">
        <v>454301</v>
      </c>
      <c r="G220" s="17">
        <v>454276</v>
      </c>
      <c r="H220">
        <f t="shared" si="10"/>
        <v>25</v>
      </c>
      <c r="I220">
        <v>41</v>
      </c>
      <c r="J220">
        <f t="shared" si="11"/>
        <v>11523</v>
      </c>
    </row>
    <row r="221" spans="1:10" x14ac:dyDescent="0.2">
      <c r="A221">
        <v>2</v>
      </c>
      <c r="B221" t="s">
        <v>161</v>
      </c>
      <c r="C221" t="s">
        <v>399</v>
      </c>
      <c r="D221" t="s">
        <v>380</v>
      </c>
      <c r="E221" s="17" t="s">
        <v>404</v>
      </c>
      <c r="F221" s="17">
        <v>92046</v>
      </c>
      <c r="G221" s="17">
        <v>92060</v>
      </c>
      <c r="H221">
        <f t="shared" si="10"/>
        <v>-14</v>
      </c>
      <c r="I221">
        <v>41</v>
      </c>
    </row>
    <row r="222" spans="1:10" x14ac:dyDescent="0.2">
      <c r="A222">
        <v>2</v>
      </c>
      <c r="B222" t="s">
        <v>161</v>
      </c>
      <c r="C222" t="s">
        <v>399</v>
      </c>
      <c r="D222" t="s">
        <v>380</v>
      </c>
      <c r="E222" s="17" t="s">
        <v>363</v>
      </c>
      <c r="F222" s="17">
        <v>103460</v>
      </c>
      <c r="G222" s="17">
        <v>103468</v>
      </c>
      <c r="H222">
        <f t="shared" si="10"/>
        <v>-8</v>
      </c>
      <c r="I222">
        <v>41</v>
      </c>
      <c r="J222">
        <f t="shared" si="11"/>
        <v>11414</v>
      </c>
    </row>
    <row r="223" spans="1:10" x14ac:dyDescent="0.2">
      <c r="A223">
        <v>2</v>
      </c>
      <c r="B223" t="s">
        <v>161</v>
      </c>
      <c r="C223" t="s">
        <v>399</v>
      </c>
      <c r="D223" t="s">
        <v>380</v>
      </c>
      <c r="E223" s="17" t="s">
        <v>364</v>
      </c>
      <c r="F223" s="17">
        <v>114966</v>
      </c>
      <c r="G223" s="17">
        <v>114973</v>
      </c>
      <c r="H223">
        <f t="shared" si="10"/>
        <v>-7</v>
      </c>
      <c r="I223">
        <v>41</v>
      </c>
      <c r="J223">
        <f t="shared" si="11"/>
        <v>11506</v>
      </c>
    </row>
    <row r="224" spans="1:10" x14ac:dyDescent="0.2">
      <c r="A224">
        <v>2</v>
      </c>
      <c r="B224" t="s">
        <v>161</v>
      </c>
      <c r="C224" t="s">
        <v>399</v>
      </c>
      <c r="D224" t="s">
        <v>380</v>
      </c>
      <c r="E224" s="17" t="s">
        <v>365</v>
      </c>
      <c r="F224" s="17">
        <v>126471</v>
      </c>
      <c r="G224" s="17">
        <v>126481</v>
      </c>
      <c r="H224">
        <f t="shared" si="10"/>
        <v>-10</v>
      </c>
      <c r="I224">
        <v>41</v>
      </c>
      <c r="J224">
        <f t="shared" si="11"/>
        <v>11505</v>
      </c>
    </row>
    <row r="225" spans="1:10" x14ac:dyDescent="0.2">
      <c r="A225">
        <v>2</v>
      </c>
      <c r="B225" t="s">
        <v>161</v>
      </c>
      <c r="C225" t="s">
        <v>399</v>
      </c>
      <c r="D225" t="s">
        <v>380</v>
      </c>
      <c r="E225" s="17" t="s">
        <v>366</v>
      </c>
      <c r="F225" s="17">
        <v>137999</v>
      </c>
      <c r="G225" s="17">
        <v>138008</v>
      </c>
      <c r="H225">
        <f t="shared" si="10"/>
        <v>-9</v>
      </c>
      <c r="I225">
        <v>41</v>
      </c>
      <c r="J225">
        <f t="shared" si="11"/>
        <v>11528</v>
      </c>
    </row>
    <row r="226" spans="1:10" x14ac:dyDescent="0.2">
      <c r="A226">
        <v>2</v>
      </c>
      <c r="B226" t="s">
        <v>161</v>
      </c>
      <c r="C226" t="s">
        <v>399</v>
      </c>
      <c r="D226" t="s">
        <v>380</v>
      </c>
      <c r="E226" s="17" t="s">
        <v>367</v>
      </c>
      <c r="F226" s="17">
        <v>149493</v>
      </c>
      <c r="G226" s="17">
        <v>149502</v>
      </c>
      <c r="H226">
        <f t="shared" si="10"/>
        <v>-9</v>
      </c>
      <c r="I226">
        <v>41</v>
      </c>
      <c r="J226">
        <f t="shared" si="11"/>
        <v>11494</v>
      </c>
    </row>
    <row r="227" spans="1:10" x14ac:dyDescent="0.2">
      <c r="A227">
        <v>2</v>
      </c>
      <c r="B227" t="s">
        <v>161</v>
      </c>
      <c r="C227" t="s">
        <v>399</v>
      </c>
      <c r="D227" t="s">
        <v>380</v>
      </c>
      <c r="E227" s="17" t="s">
        <v>368</v>
      </c>
      <c r="F227" s="17">
        <v>161023</v>
      </c>
      <c r="G227" s="17">
        <v>161032</v>
      </c>
      <c r="H227">
        <f t="shared" si="10"/>
        <v>-9</v>
      </c>
      <c r="I227">
        <v>41</v>
      </c>
      <c r="J227">
        <f t="shared" si="11"/>
        <v>11530</v>
      </c>
    </row>
    <row r="228" spans="1:10" x14ac:dyDescent="0.2">
      <c r="A228">
        <v>2</v>
      </c>
      <c r="B228" t="s">
        <v>161</v>
      </c>
      <c r="C228" t="s">
        <v>399</v>
      </c>
      <c r="D228" t="s">
        <v>380</v>
      </c>
      <c r="E228" s="17" t="s">
        <v>369</v>
      </c>
      <c r="F228" s="17">
        <v>172482</v>
      </c>
      <c r="G228" s="17">
        <v>172498</v>
      </c>
      <c r="H228">
        <f t="shared" si="10"/>
        <v>-16</v>
      </c>
      <c r="I228">
        <v>41</v>
      </c>
      <c r="J228">
        <f t="shared" si="11"/>
        <v>11459</v>
      </c>
    </row>
    <row r="229" spans="1:10" x14ac:dyDescent="0.2">
      <c r="A229">
        <v>2</v>
      </c>
      <c r="B229" t="s">
        <v>161</v>
      </c>
      <c r="C229" t="s">
        <v>399</v>
      </c>
      <c r="D229" t="s">
        <v>380</v>
      </c>
      <c r="E229" s="17" t="s">
        <v>370</v>
      </c>
      <c r="F229" s="17">
        <v>183945</v>
      </c>
      <c r="G229" s="17">
        <v>183955</v>
      </c>
      <c r="H229">
        <f t="shared" si="10"/>
        <v>-10</v>
      </c>
      <c r="I229">
        <v>41</v>
      </c>
      <c r="J229">
        <f t="shared" si="11"/>
        <v>11463</v>
      </c>
    </row>
    <row r="230" spans="1:10" x14ac:dyDescent="0.2">
      <c r="A230">
        <v>2</v>
      </c>
      <c r="B230" t="s">
        <v>161</v>
      </c>
      <c r="C230" t="s">
        <v>399</v>
      </c>
      <c r="D230" t="s">
        <v>380</v>
      </c>
      <c r="E230" s="17" t="s">
        <v>371</v>
      </c>
      <c r="F230" s="17">
        <v>195412</v>
      </c>
      <c r="G230" s="17">
        <v>195422</v>
      </c>
      <c r="H230">
        <f t="shared" si="10"/>
        <v>-10</v>
      </c>
      <c r="I230">
        <v>41</v>
      </c>
      <c r="J230">
        <f t="shared" si="11"/>
        <v>11467</v>
      </c>
    </row>
    <row r="231" spans="1:10" x14ac:dyDescent="0.2">
      <c r="A231">
        <v>2</v>
      </c>
      <c r="B231" t="s">
        <v>161</v>
      </c>
      <c r="C231" t="s">
        <v>399</v>
      </c>
      <c r="D231" t="s">
        <v>380</v>
      </c>
      <c r="E231" s="17" t="s">
        <v>372</v>
      </c>
      <c r="F231" s="17">
        <v>206861</v>
      </c>
      <c r="G231" s="17">
        <v>206868</v>
      </c>
      <c r="H231">
        <f t="shared" si="10"/>
        <v>-7</v>
      </c>
      <c r="I231">
        <v>41</v>
      </c>
      <c r="J231">
        <f t="shared" si="11"/>
        <v>11449</v>
      </c>
    </row>
    <row r="232" spans="1:10" x14ac:dyDescent="0.2">
      <c r="A232">
        <v>2</v>
      </c>
      <c r="B232" t="s">
        <v>161</v>
      </c>
      <c r="C232" t="s">
        <v>399</v>
      </c>
      <c r="D232" t="s">
        <v>380</v>
      </c>
      <c r="E232" s="17" t="s">
        <v>373</v>
      </c>
      <c r="F232" s="17">
        <v>218288</v>
      </c>
      <c r="G232" s="17">
        <v>218299</v>
      </c>
      <c r="H232">
        <f t="shared" si="10"/>
        <v>-11</v>
      </c>
      <c r="I232">
        <v>41</v>
      </c>
      <c r="J232">
        <f t="shared" si="11"/>
        <v>11427</v>
      </c>
    </row>
    <row r="233" spans="1:10" x14ac:dyDescent="0.2">
      <c r="A233">
        <v>2</v>
      </c>
      <c r="B233" t="s">
        <v>161</v>
      </c>
      <c r="C233" t="s">
        <v>399</v>
      </c>
      <c r="D233" t="s">
        <v>380</v>
      </c>
      <c r="E233" s="17" t="s">
        <v>374</v>
      </c>
      <c r="F233" s="17">
        <v>229698</v>
      </c>
      <c r="G233" s="17">
        <v>229710</v>
      </c>
      <c r="H233">
        <f t="shared" si="10"/>
        <v>-12</v>
      </c>
      <c r="I233">
        <v>41</v>
      </c>
      <c r="J233">
        <f t="shared" si="11"/>
        <v>11410</v>
      </c>
    </row>
    <row r="234" spans="1:10" x14ac:dyDescent="0.2">
      <c r="A234">
        <v>2</v>
      </c>
      <c r="B234" t="s">
        <v>161</v>
      </c>
      <c r="C234" t="s">
        <v>399</v>
      </c>
      <c r="D234" t="s">
        <v>380</v>
      </c>
      <c r="E234" s="17" t="s">
        <v>375</v>
      </c>
      <c r="F234" s="17">
        <v>241099</v>
      </c>
      <c r="G234" s="17">
        <v>241109</v>
      </c>
      <c r="H234">
        <f t="shared" si="10"/>
        <v>-10</v>
      </c>
      <c r="I234">
        <v>41</v>
      </c>
      <c r="J234">
        <f t="shared" si="11"/>
        <v>11401</v>
      </c>
    </row>
    <row r="235" spans="1:10" x14ac:dyDescent="0.2">
      <c r="A235">
        <v>2</v>
      </c>
      <c r="B235" t="s">
        <v>161</v>
      </c>
      <c r="C235" t="s">
        <v>399</v>
      </c>
      <c r="D235" t="s">
        <v>380</v>
      </c>
      <c r="E235" s="17" t="s">
        <v>376</v>
      </c>
      <c r="F235" s="17">
        <v>252459</v>
      </c>
      <c r="G235" s="17">
        <v>252474</v>
      </c>
      <c r="H235">
        <f t="shared" si="10"/>
        <v>-15</v>
      </c>
      <c r="I235">
        <v>41</v>
      </c>
      <c r="J235">
        <f t="shared" si="11"/>
        <v>11360</v>
      </c>
    </row>
    <row r="236" spans="1:10" x14ac:dyDescent="0.2">
      <c r="A236">
        <v>2</v>
      </c>
      <c r="B236" t="s">
        <v>161</v>
      </c>
      <c r="C236" t="s">
        <v>399</v>
      </c>
      <c r="D236" t="s">
        <v>380</v>
      </c>
      <c r="E236" s="17" t="s">
        <v>377</v>
      </c>
      <c r="F236" s="17">
        <v>263826</v>
      </c>
      <c r="G236" s="17">
        <v>263837</v>
      </c>
      <c r="H236">
        <f t="shared" si="10"/>
        <v>-11</v>
      </c>
      <c r="I236">
        <v>41</v>
      </c>
      <c r="J236">
        <f t="shared" si="11"/>
        <v>11367</v>
      </c>
    </row>
    <row r="237" spans="1:10" x14ac:dyDescent="0.2">
      <c r="A237">
        <v>2</v>
      </c>
      <c r="B237" t="s">
        <v>161</v>
      </c>
      <c r="C237" t="s">
        <v>399</v>
      </c>
      <c r="D237" t="s">
        <v>380</v>
      </c>
      <c r="E237" s="17" t="s">
        <v>378</v>
      </c>
      <c r="F237" s="17">
        <v>275205</v>
      </c>
      <c r="G237" s="17">
        <v>275213</v>
      </c>
      <c r="H237">
        <f t="shared" si="10"/>
        <v>-8</v>
      </c>
      <c r="I237">
        <v>41</v>
      </c>
      <c r="J237">
        <f t="shared" si="11"/>
        <v>11379</v>
      </c>
    </row>
    <row r="238" spans="1:10" x14ac:dyDescent="0.2">
      <c r="A238">
        <v>2</v>
      </c>
      <c r="B238" t="s">
        <v>161</v>
      </c>
      <c r="C238" t="s">
        <v>399</v>
      </c>
      <c r="D238" t="s">
        <v>380</v>
      </c>
      <c r="E238" s="17" t="s">
        <v>384</v>
      </c>
      <c r="F238" s="17">
        <v>286613</v>
      </c>
      <c r="G238" s="17">
        <v>286625</v>
      </c>
      <c r="H238">
        <f t="shared" si="10"/>
        <v>-12</v>
      </c>
      <c r="I238">
        <v>41</v>
      </c>
      <c r="J238">
        <f t="shared" si="11"/>
        <v>11408</v>
      </c>
    </row>
    <row r="239" spans="1:10" x14ac:dyDescent="0.2">
      <c r="A239">
        <v>2</v>
      </c>
      <c r="B239" t="s">
        <v>161</v>
      </c>
      <c r="C239" t="s">
        <v>399</v>
      </c>
      <c r="D239" t="s">
        <v>380</v>
      </c>
      <c r="E239" s="17" t="s">
        <v>385</v>
      </c>
      <c r="F239" s="17">
        <v>297952</v>
      </c>
      <c r="G239" s="17">
        <v>297962</v>
      </c>
      <c r="H239">
        <f t="shared" si="10"/>
        <v>-10</v>
      </c>
      <c r="I239">
        <v>41</v>
      </c>
      <c r="J239">
        <f t="shared" si="11"/>
        <v>11339</v>
      </c>
    </row>
    <row r="240" spans="1:10" x14ac:dyDescent="0.2">
      <c r="A240">
        <v>2</v>
      </c>
      <c r="B240" t="s">
        <v>161</v>
      </c>
      <c r="C240" t="s">
        <v>399</v>
      </c>
      <c r="D240" t="s">
        <v>380</v>
      </c>
      <c r="E240" s="17" t="s">
        <v>386</v>
      </c>
      <c r="F240" s="17">
        <v>309299</v>
      </c>
      <c r="G240" s="17">
        <v>309313</v>
      </c>
      <c r="H240">
        <f t="shared" si="10"/>
        <v>-14</v>
      </c>
      <c r="I240">
        <v>41</v>
      </c>
      <c r="J240">
        <f t="shared" si="11"/>
        <v>11347</v>
      </c>
    </row>
    <row r="241" spans="1:10" x14ac:dyDescent="0.2">
      <c r="A241">
        <v>2</v>
      </c>
      <c r="B241" t="s">
        <v>161</v>
      </c>
      <c r="C241" t="s">
        <v>399</v>
      </c>
      <c r="D241" t="s">
        <v>380</v>
      </c>
      <c r="E241" s="17" t="s">
        <v>387</v>
      </c>
      <c r="F241" s="17">
        <v>320626</v>
      </c>
      <c r="G241" s="17">
        <v>320636</v>
      </c>
      <c r="H241">
        <f t="shared" si="10"/>
        <v>-10</v>
      </c>
      <c r="I241">
        <v>41</v>
      </c>
      <c r="J241">
        <f t="shared" si="11"/>
        <v>11327</v>
      </c>
    </row>
    <row r="242" spans="1:10" x14ac:dyDescent="0.2">
      <c r="A242">
        <v>2</v>
      </c>
      <c r="B242" t="s">
        <v>161</v>
      </c>
      <c r="C242" t="s">
        <v>399</v>
      </c>
      <c r="D242" t="s">
        <v>380</v>
      </c>
      <c r="E242" s="17" t="s">
        <v>388</v>
      </c>
      <c r="F242" s="17">
        <v>331965</v>
      </c>
      <c r="G242" s="17">
        <v>331976</v>
      </c>
      <c r="H242">
        <f t="shared" si="10"/>
        <v>-11</v>
      </c>
      <c r="I242">
        <v>41</v>
      </c>
      <c r="J242">
        <f t="shared" si="11"/>
        <v>11339</v>
      </c>
    </row>
    <row r="243" spans="1:10" x14ac:dyDescent="0.2">
      <c r="A243">
        <v>2</v>
      </c>
      <c r="B243" t="s">
        <v>161</v>
      </c>
      <c r="C243" t="s">
        <v>399</v>
      </c>
      <c r="D243" t="s">
        <v>380</v>
      </c>
      <c r="E243" s="17" t="s">
        <v>389</v>
      </c>
      <c r="F243" s="17">
        <v>343254</v>
      </c>
      <c r="G243" s="17">
        <v>343259</v>
      </c>
      <c r="H243">
        <f t="shared" si="10"/>
        <v>-5</v>
      </c>
      <c r="I243">
        <v>41</v>
      </c>
      <c r="J243">
        <f t="shared" si="11"/>
        <v>11289</v>
      </c>
    </row>
    <row r="244" spans="1:10" x14ac:dyDescent="0.2">
      <c r="A244">
        <v>2</v>
      </c>
      <c r="B244" t="s">
        <v>161</v>
      </c>
      <c r="C244" t="s">
        <v>399</v>
      </c>
      <c r="D244" t="s">
        <v>380</v>
      </c>
      <c r="E244" s="17" t="s">
        <v>390</v>
      </c>
      <c r="F244" s="17">
        <v>354560</v>
      </c>
      <c r="G244" s="17">
        <v>354568</v>
      </c>
      <c r="H244">
        <f t="shared" si="10"/>
        <v>-8</v>
      </c>
      <c r="I244">
        <v>41</v>
      </c>
      <c r="J244">
        <f t="shared" si="11"/>
        <v>11306</v>
      </c>
    </row>
    <row r="245" spans="1:10" x14ac:dyDescent="0.2">
      <c r="A245">
        <v>2</v>
      </c>
      <c r="B245" t="s">
        <v>161</v>
      </c>
      <c r="C245" t="s">
        <v>399</v>
      </c>
      <c r="D245" t="s">
        <v>380</v>
      </c>
      <c r="E245" s="17" t="s">
        <v>391</v>
      </c>
      <c r="F245" s="17">
        <v>365965</v>
      </c>
      <c r="G245" s="17">
        <v>365978</v>
      </c>
      <c r="H245">
        <f t="shared" si="10"/>
        <v>-13</v>
      </c>
      <c r="I245">
        <v>41</v>
      </c>
      <c r="J245">
        <f t="shared" si="11"/>
        <v>11405</v>
      </c>
    </row>
    <row r="246" spans="1:10" x14ac:dyDescent="0.2">
      <c r="A246">
        <v>2</v>
      </c>
      <c r="B246" t="s">
        <v>161</v>
      </c>
      <c r="C246" t="s">
        <v>399</v>
      </c>
      <c r="D246" t="s">
        <v>380</v>
      </c>
      <c r="E246" s="17" t="s">
        <v>392</v>
      </c>
      <c r="F246" s="17">
        <v>377264</v>
      </c>
      <c r="G246" s="17">
        <v>377276</v>
      </c>
      <c r="H246">
        <f t="shared" si="10"/>
        <v>-12</v>
      </c>
      <c r="I246">
        <v>41</v>
      </c>
      <c r="J246">
        <f t="shared" si="11"/>
        <v>11299</v>
      </c>
    </row>
    <row r="247" spans="1:10" x14ac:dyDescent="0.2">
      <c r="A247">
        <v>2</v>
      </c>
      <c r="B247" t="s">
        <v>161</v>
      </c>
      <c r="C247" t="s">
        <v>399</v>
      </c>
      <c r="D247" t="s">
        <v>380</v>
      </c>
      <c r="E247" s="17" t="s">
        <v>393</v>
      </c>
      <c r="F247" s="17">
        <v>388603</v>
      </c>
      <c r="G247" s="17">
        <v>388617</v>
      </c>
      <c r="H247">
        <f t="shared" si="10"/>
        <v>-14</v>
      </c>
      <c r="I247">
        <v>41</v>
      </c>
      <c r="J247">
        <f t="shared" si="11"/>
        <v>11339</v>
      </c>
    </row>
    <row r="248" spans="1:10" x14ac:dyDescent="0.2">
      <c r="A248">
        <v>2</v>
      </c>
      <c r="B248" t="s">
        <v>161</v>
      </c>
      <c r="C248" t="s">
        <v>399</v>
      </c>
      <c r="D248" t="s">
        <v>380</v>
      </c>
      <c r="E248" s="17" t="s">
        <v>394</v>
      </c>
      <c r="F248" s="17">
        <v>399982</v>
      </c>
      <c r="G248" s="17">
        <v>399994</v>
      </c>
      <c r="H248">
        <f t="shared" si="10"/>
        <v>-12</v>
      </c>
      <c r="I248">
        <v>41</v>
      </c>
      <c r="J248">
        <f t="shared" si="11"/>
        <v>11379</v>
      </c>
    </row>
    <row r="249" spans="1:10" x14ac:dyDescent="0.2">
      <c r="A249">
        <v>2</v>
      </c>
      <c r="B249" t="s">
        <v>161</v>
      </c>
      <c r="C249" t="s">
        <v>399</v>
      </c>
      <c r="D249" t="s">
        <v>380</v>
      </c>
      <c r="E249" s="17" t="s">
        <v>395</v>
      </c>
      <c r="F249" s="17">
        <v>411375</v>
      </c>
      <c r="G249" s="17">
        <v>411390</v>
      </c>
      <c r="H249">
        <f t="shared" si="10"/>
        <v>-15</v>
      </c>
      <c r="I249">
        <v>41</v>
      </c>
      <c r="J249">
        <f t="shared" si="11"/>
        <v>11393</v>
      </c>
    </row>
    <row r="250" spans="1:10" x14ac:dyDescent="0.2">
      <c r="A250">
        <v>2</v>
      </c>
      <c r="B250" t="s">
        <v>161</v>
      </c>
      <c r="C250" t="s">
        <v>399</v>
      </c>
      <c r="D250" t="s">
        <v>380</v>
      </c>
      <c r="E250" s="17" t="s">
        <v>396</v>
      </c>
      <c r="F250" s="17">
        <v>422745</v>
      </c>
      <c r="G250" s="17">
        <v>422758</v>
      </c>
      <c r="H250">
        <f t="shared" si="10"/>
        <v>-13</v>
      </c>
      <c r="I250">
        <v>41</v>
      </c>
      <c r="J250">
        <f t="shared" si="11"/>
        <v>11370</v>
      </c>
    </row>
    <row r="251" spans="1:10" x14ac:dyDescent="0.2">
      <c r="A251">
        <v>2</v>
      </c>
      <c r="B251" t="s">
        <v>161</v>
      </c>
      <c r="C251" t="s">
        <v>399</v>
      </c>
      <c r="D251" t="s">
        <v>380</v>
      </c>
      <c r="E251" s="17" t="s">
        <v>407</v>
      </c>
      <c r="F251" s="17">
        <v>434090</v>
      </c>
      <c r="G251" s="17">
        <v>434099</v>
      </c>
      <c r="H251">
        <f t="shared" si="10"/>
        <v>-9</v>
      </c>
      <c r="I251">
        <v>41</v>
      </c>
      <c r="J251">
        <f t="shared" si="11"/>
        <v>11345</v>
      </c>
    </row>
    <row r="252" spans="1:10" x14ac:dyDescent="0.2">
      <c r="A252">
        <v>2</v>
      </c>
      <c r="B252" t="s">
        <v>161</v>
      </c>
      <c r="C252" t="s">
        <v>399</v>
      </c>
      <c r="D252" t="s">
        <v>380</v>
      </c>
      <c r="E252" s="17" t="s">
        <v>409</v>
      </c>
      <c r="F252" s="17">
        <v>445433</v>
      </c>
      <c r="G252" s="17">
        <v>445447</v>
      </c>
      <c r="H252">
        <f t="shared" si="10"/>
        <v>-14</v>
      </c>
      <c r="I252">
        <v>41</v>
      </c>
      <c r="J252">
        <f t="shared" si="11"/>
        <v>11343</v>
      </c>
    </row>
    <row r="253" spans="1:10" x14ac:dyDescent="0.2">
      <c r="A253">
        <v>2</v>
      </c>
      <c r="B253" t="s">
        <v>161</v>
      </c>
      <c r="C253" t="s">
        <v>399</v>
      </c>
      <c r="D253" t="s">
        <v>380</v>
      </c>
      <c r="E253" s="17" t="s">
        <v>410</v>
      </c>
      <c r="F253" s="17">
        <v>456945</v>
      </c>
      <c r="G253" s="17">
        <v>456955</v>
      </c>
      <c r="H253">
        <f t="shared" si="10"/>
        <v>-10</v>
      </c>
      <c r="I253">
        <v>41</v>
      </c>
      <c r="J253">
        <f t="shared" si="11"/>
        <v>11512</v>
      </c>
    </row>
    <row r="254" spans="1:10" x14ac:dyDescent="0.2">
      <c r="A254">
        <v>3</v>
      </c>
      <c r="B254" s="15" t="s">
        <v>417</v>
      </c>
      <c r="C254" t="s">
        <v>399</v>
      </c>
      <c r="D254" t="s">
        <v>401</v>
      </c>
      <c r="E254" s="17" t="s">
        <v>362</v>
      </c>
      <c r="F254" s="17">
        <v>4481</v>
      </c>
      <c r="G254" s="17">
        <v>4438</v>
      </c>
      <c r="H254">
        <f>F254-G254</f>
        <v>43</v>
      </c>
      <c r="I254">
        <v>101</v>
      </c>
    </row>
    <row r="255" spans="1:10" x14ac:dyDescent="0.2">
      <c r="A255">
        <v>3</v>
      </c>
      <c r="B255" s="15" t="s">
        <v>417</v>
      </c>
      <c r="C255" t="s">
        <v>399</v>
      </c>
      <c r="D255" t="s">
        <v>401</v>
      </c>
      <c r="E255" s="17" t="s">
        <v>363</v>
      </c>
      <c r="F255" s="17">
        <v>15270</v>
      </c>
      <c r="G255" s="17">
        <v>15226</v>
      </c>
      <c r="H255">
        <f>F255-G255</f>
        <v>44</v>
      </c>
      <c r="I255">
        <v>101</v>
      </c>
      <c r="J255">
        <f t="shared" ref="J255:J256" si="12">F255-F254</f>
        <v>10789</v>
      </c>
    </row>
    <row r="256" spans="1:10" x14ac:dyDescent="0.2">
      <c r="A256">
        <v>3</v>
      </c>
      <c r="B256" s="15" t="s">
        <v>417</v>
      </c>
      <c r="C256" t="s">
        <v>399</v>
      </c>
      <c r="D256" t="s">
        <v>401</v>
      </c>
      <c r="E256" s="17" t="s">
        <v>364</v>
      </c>
      <c r="F256" s="17">
        <v>25882</v>
      </c>
      <c r="G256" s="17">
        <v>25839</v>
      </c>
      <c r="H256">
        <f>F256-G256</f>
        <v>43</v>
      </c>
      <c r="I256">
        <v>101</v>
      </c>
      <c r="J256">
        <f t="shared" si="12"/>
        <v>10612</v>
      </c>
    </row>
    <row r="257" spans="1:10" x14ac:dyDescent="0.2">
      <c r="A257">
        <v>3</v>
      </c>
      <c r="B257" s="15" t="s">
        <v>417</v>
      </c>
      <c r="C257" t="s">
        <v>399</v>
      </c>
      <c r="D257" t="s">
        <v>401</v>
      </c>
      <c r="E257" s="17" t="s">
        <v>365</v>
      </c>
      <c r="F257" s="17">
        <v>36484</v>
      </c>
      <c r="G257" s="17">
        <v>36439</v>
      </c>
      <c r="H257">
        <f t="shared" ref="H257:H286" si="13">F257-G257</f>
        <v>45</v>
      </c>
      <c r="I257">
        <v>101</v>
      </c>
      <c r="J257">
        <f t="shared" ref="J257:J283" si="14">F257-F256</f>
        <v>10602</v>
      </c>
    </row>
    <row r="258" spans="1:10" x14ac:dyDescent="0.2">
      <c r="A258">
        <v>3</v>
      </c>
      <c r="B258" s="15" t="s">
        <v>417</v>
      </c>
      <c r="C258" t="s">
        <v>399</v>
      </c>
      <c r="D258" t="s">
        <v>401</v>
      </c>
      <c r="E258" s="17" t="s">
        <v>366</v>
      </c>
      <c r="F258" s="17">
        <v>47279</v>
      </c>
      <c r="G258" s="17">
        <v>47234</v>
      </c>
      <c r="H258">
        <f t="shared" si="13"/>
        <v>45</v>
      </c>
      <c r="I258">
        <v>101</v>
      </c>
      <c r="J258">
        <f t="shared" si="14"/>
        <v>10795</v>
      </c>
    </row>
    <row r="259" spans="1:10" x14ac:dyDescent="0.2">
      <c r="A259">
        <v>3</v>
      </c>
      <c r="B259" s="15" t="s">
        <v>417</v>
      </c>
      <c r="C259" t="s">
        <v>399</v>
      </c>
      <c r="D259" t="s">
        <v>401</v>
      </c>
      <c r="E259" s="17" t="s">
        <v>367</v>
      </c>
      <c r="F259" s="17">
        <v>58077</v>
      </c>
      <c r="G259" s="17">
        <v>58034</v>
      </c>
      <c r="H259">
        <f t="shared" si="13"/>
        <v>43</v>
      </c>
      <c r="I259">
        <v>101</v>
      </c>
      <c r="J259">
        <f t="shared" si="14"/>
        <v>10798</v>
      </c>
    </row>
    <row r="260" spans="1:10" x14ac:dyDescent="0.2">
      <c r="A260">
        <v>3</v>
      </c>
      <c r="B260" s="15" t="s">
        <v>417</v>
      </c>
      <c r="C260" t="s">
        <v>399</v>
      </c>
      <c r="D260" t="s">
        <v>401</v>
      </c>
      <c r="E260" s="17" t="s">
        <v>368</v>
      </c>
      <c r="F260" s="17">
        <v>68676</v>
      </c>
      <c r="G260" s="17">
        <v>68632</v>
      </c>
      <c r="H260">
        <f t="shared" si="13"/>
        <v>44</v>
      </c>
      <c r="I260">
        <v>101</v>
      </c>
      <c r="J260">
        <f t="shared" si="14"/>
        <v>10599</v>
      </c>
    </row>
    <row r="261" spans="1:10" x14ac:dyDescent="0.2">
      <c r="A261">
        <v>3</v>
      </c>
      <c r="B261" s="15" t="s">
        <v>417</v>
      </c>
      <c r="C261" t="s">
        <v>399</v>
      </c>
      <c r="D261" t="s">
        <v>401</v>
      </c>
      <c r="E261" s="17" t="s">
        <v>369</v>
      </c>
      <c r="F261" s="17">
        <v>79441</v>
      </c>
      <c r="G261" s="17">
        <v>79397</v>
      </c>
      <c r="H261">
        <f t="shared" si="13"/>
        <v>44</v>
      </c>
      <c r="I261">
        <v>101</v>
      </c>
      <c r="J261">
        <f t="shared" si="14"/>
        <v>10765</v>
      </c>
    </row>
    <row r="262" spans="1:10" x14ac:dyDescent="0.2">
      <c r="A262">
        <v>3</v>
      </c>
      <c r="B262" s="15" t="s">
        <v>417</v>
      </c>
      <c r="C262" t="s">
        <v>399</v>
      </c>
      <c r="D262" t="s">
        <v>401</v>
      </c>
      <c r="E262" s="17" t="s">
        <v>370</v>
      </c>
      <c r="F262" s="17">
        <v>89969</v>
      </c>
      <c r="G262" s="17">
        <v>89945</v>
      </c>
      <c r="H262">
        <f t="shared" si="13"/>
        <v>24</v>
      </c>
      <c r="I262">
        <v>101</v>
      </c>
      <c r="J262">
        <f t="shared" si="14"/>
        <v>10528</v>
      </c>
    </row>
    <row r="263" spans="1:10" x14ac:dyDescent="0.2">
      <c r="A263">
        <v>3</v>
      </c>
      <c r="B263" s="15" t="s">
        <v>417</v>
      </c>
      <c r="C263" t="s">
        <v>399</v>
      </c>
      <c r="D263" t="s">
        <v>401</v>
      </c>
      <c r="E263" s="17" t="s">
        <v>371</v>
      </c>
      <c r="F263" s="17">
        <v>100754</v>
      </c>
      <c r="G263" s="17">
        <v>100708</v>
      </c>
      <c r="H263">
        <f t="shared" si="13"/>
        <v>46</v>
      </c>
      <c r="I263">
        <v>101</v>
      </c>
      <c r="J263">
        <f t="shared" si="14"/>
        <v>10785</v>
      </c>
    </row>
    <row r="264" spans="1:10" x14ac:dyDescent="0.2">
      <c r="A264">
        <v>3</v>
      </c>
      <c r="B264" s="15" t="s">
        <v>417</v>
      </c>
      <c r="C264" t="s">
        <v>399</v>
      </c>
      <c r="D264" t="s">
        <v>401</v>
      </c>
      <c r="E264" s="17" t="s">
        <v>372</v>
      </c>
      <c r="F264" s="17">
        <v>111503</v>
      </c>
      <c r="G264" s="17">
        <v>111459</v>
      </c>
      <c r="H264">
        <f t="shared" si="13"/>
        <v>44</v>
      </c>
      <c r="I264">
        <v>101</v>
      </c>
      <c r="J264">
        <f t="shared" si="14"/>
        <v>10749</v>
      </c>
    </row>
    <row r="265" spans="1:10" x14ac:dyDescent="0.2">
      <c r="A265">
        <v>3</v>
      </c>
      <c r="B265" s="15" t="s">
        <v>417</v>
      </c>
      <c r="C265" t="s">
        <v>399</v>
      </c>
      <c r="D265" t="s">
        <v>401</v>
      </c>
      <c r="E265" s="17" t="s">
        <v>373</v>
      </c>
      <c r="F265" s="17">
        <v>122175</v>
      </c>
      <c r="G265" s="17">
        <v>122133</v>
      </c>
      <c r="H265">
        <f t="shared" si="13"/>
        <v>42</v>
      </c>
      <c r="I265">
        <v>101</v>
      </c>
      <c r="J265">
        <f t="shared" si="14"/>
        <v>10672</v>
      </c>
    </row>
    <row r="266" spans="1:10" x14ac:dyDescent="0.2">
      <c r="A266">
        <v>3</v>
      </c>
      <c r="B266" s="15" t="s">
        <v>417</v>
      </c>
      <c r="C266" t="s">
        <v>399</v>
      </c>
      <c r="D266" t="s">
        <v>401</v>
      </c>
      <c r="E266" s="17" t="s">
        <v>374</v>
      </c>
      <c r="F266" s="17">
        <v>133004</v>
      </c>
      <c r="G266" s="17">
        <v>132960</v>
      </c>
      <c r="H266">
        <f t="shared" si="13"/>
        <v>44</v>
      </c>
      <c r="I266">
        <v>101</v>
      </c>
      <c r="J266">
        <f t="shared" si="14"/>
        <v>10829</v>
      </c>
    </row>
    <row r="267" spans="1:10" x14ac:dyDescent="0.2">
      <c r="A267">
        <v>3</v>
      </c>
      <c r="B267" s="15" t="s">
        <v>417</v>
      </c>
      <c r="C267" t="s">
        <v>399</v>
      </c>
      <c r="D267" t="s">
        <v>401</v>
      </c>
      <c r="E267" s="17" t="s">
        <v>375</v>
      </c>
      <c r="F267" s="17">
        <v>143647</v>
      </c>
      <c r="G267" s="17">
        <v>143604</v>
      </c>
      <c r="H267">
        <f t="shared" si="13"/>
        <v>43</v>
      </c>
      <c r="I267">
        <v>101</v>
      </c>
      <c r="J267">
        <f t="shared" si="14"/>
        <v>10643</v>
      </c>
    </row>
    <row r="268" spans="1:10" x14ac:dyDescent="0.2">
      <c r="A268">
        <v>3</v>
      </c>
      <c r="B268" s="15" t="s">
        <v>417</v>
      </c>
      <c r="C268" t="s">
        <v>399</v>
      </c>
      <c r="D268" t="s">
        <v>401</v>
      </c>
      <c r="E268" s="17" t="s">
        <v>376</v>
      </c>
      <c r="F268" s="17">
        <v>154437</v>
      </c>
      <c r="G268" s="17">
        <v>154393</v>
      </c>
      <c r="H268">
        <f t="shared" si="13"/>
        <v>44</v>
      </c>
      <c r="I268">
        <v>101</v>
      </c>
      <c r="J268">
        <f t="shared" si="14"/>
        <v>10790</v>
      </c>
    </row>
    <row r="269" spans="1:10" x14ac:dyDescent="0.2">
      <c r="A269">
        <v>3</v>
      </c>
      <c r="B269" s="15" t="s">
        <v>417</v>
      </c>
      <c r="C269" t="s">
        <v>399</v>
      </c>
      <c r="D269" t="s">
        <v>401</v>
      </c>
      <c r="E269" s="17" t="s">
        <v>377</v>
      </c>
      <c r="F269" s="17">
        <v>165060</v>
      </c>
      <c r="G269" s="17">
        <v>165016</v>
      </c>
      <c r="H269">
        <f t="shared" si="13"/>
        <v>44</v>
      </c>
      <c r="I269">
        <v>101</v>
      </c>
      <c r="J269">
        <f t="shared" si="14"/>
        <v>10623</v>
      </c>
    </row>
    <row r="270" spans="1:10" x14ac:dyDescent="0.2">
      <c r="A270">
        <v>3</v>
      </c>
      <c r="B270" s="15" t="s">
        <v>417</v>
      </c>
      <c r="C270" t="s">
        <v>399</v>
      </c>
      <c r="D270" t="s">
        <v>401</v>
      </c>
      <c r="E270" s="17" t="s">
        <v>378</v>
      </c>
      <c r="F270" s="17">
        <v>175845</v>
      </c>
      <c r="G270" s="17">
        <v>175802</v>
      </c>
      <c r="H270">
        <f t="shared" si="13"/>
        <v>43</v>
      </c>
      <c r="I270">
        <v>101</v>
      </c>
      <c r="J270">
        <f t="shared" si="14"/>
        <v>10785</v>
      </c>
    </row>
    <row r="271" spans="1:10" x14ac:dyDescent="0.2">
      <c r="A271">
        <v>3</v>
      </c>
      <c r="B271" s="15" t="s">
        <v>417</v>
      </c>
      <c r="C271" t="s">
        <v>399</v>
      </c>
      <c r="D271" t="s">
        <v>401</v>
      </c>
      <c r="E271" s="17" t="s">
        <v>384</v>
      </c>
      <c r="F271" s="17">
        <v>186436</v>
      </c>
      <c r="G271" s="17">
        <v>186393</v>
      </c>
      <c r="H271">
        <f t="shared" si="13"/>
        <v>43</v>
      </c>
      <c r="I271">
        <v>101</v>
      </c>
      <c r="J271">
        <f t="shared" si="14"/>
        <v>10591</v>
      </c>
    </row>
    <row r="272" spans="1:10" x14ac:dyDescent="0.2">
      <c r="A272">
        <v>3</v>
      </c>
      <c r="B272" s="15" t="s">
        <v>417</v>
      </c>
      <c r="C272" t="s">
        <v>399</v>
      </c>
      <c r="D272" t="s">
        <v>401</v>
      </c>
      <c r="E272" s="17" t="s">
        <v>385</v>
      </c>
      <c r="F272" s="17">
        <v>197228</v>
      </c>
      <c r="G272" s="17">
        <v>197184</v>
      </c>
      <c r="H272">
        <f t="shared" si="13"/>
        <v>44</v>
      </c>
      <c r="I272">
        <v>101</v>
      </c>
      <c r="J272">
        <f t="shared" si="14"/>
        <v>10792</v>
      </c>
    </row>
    <row r="273" spans="1:10" x14ac:dyDescent="0.2">
      <c r="A273">
        <v>3</v>
      </c>
      <c r="B273" s="15" t="s">
        <v>417</v>
      </c>
      <c r="C273" t="s">
        <v>399</v>
      </c>
      <c r="D273" t="s">
        <v>401</v>
      </c>
      <c r="E273" s="17" t="s">
        <v>386</v>
      </c>
      <c r="F273" s="17">
        <v>207844</v>
      </c>
      <c r="G273" s="17">
        <v>207800</v>
      </c>
      <c r="H273">
        <f t="shared" si="13"/>
        <v>44</v>
      </c>
      <c r="I273">
        <v>101</v>
      </c>
      <c r="J273">
        <f t="shared" si="14"/>
        <v>10616</v>
      </c>
    </row>
    <row r="274" spans="1:10" x14ac:dyDescent="0.2">
      <c r="A274">
        <v>3</v>
      </c>
      <c r="B274" s="15" t="s">
        <v>417</v>
      </c>
      <c r="C274" t="s">
        <v>399</v>
      </c>
      <c r="D274" t="s">
        <v>401</v>
      </c>
      <c r="E274" s="17" t="s">
        <v>387</v>
      </c>
      <c r="F274" s="17">
        <v>218643</v>
      </c>
      <c r="G274" s="17">
        <v>218598</v>
      </c>
      <c r="H274">
        <f t="shared" si="13"/>
        <v>45</v>
      </c>
      <c r="I274">
        <v>101</v>
      </c>
      <c r="J274">
        <f t="shared" si="14"/>
        <v>10799</v>
      </c>
    </row>
    <row r="275" spans="1:10" x14ac:dyDescent="0.2">
      <c r="A275">
        <v>3</v>
      </c>
      <c r="B275" s="15" t="s">
        <v>417</v>
      </c>
      <c r="C275" t="s">
        <v>399</v>
      </c>
      <c r="D275" t="s">
        <v>401</v>
      </c>
      <c r="E275" s="17" t="s">
        <v>388</v>
      </c>
      <c r="F275" s="17">
        <v>229290</v>
      </c>
      <c r="G275" s="17">
        <v>229247</v>
      </c>
      <c r="H275">
        <f t="shared" si="13"/>
        <v>43</v>
      </c>
      <c r="I275">
        <v>101</v>
      </c>
      <c r="J275">
        <f t="shared" si="14"/>
        <v>10647</v>
      </c>
    </row>
    <row r="276" spans="1:10" x14ac:dyDescent="0.2">
      <c r="A276">
        <v>3</v>
      </c>
      <c r="B276" s="15" t="s">
        <v>417</v>
      </c>
      <c r="C276" t="s">
        <v>399</v>
      </c>
      <c r="D276" t="s">
        <v>401</v>
      </c>
      <c r="E276" s="17" t="s">
        <v>389</v>
      </c>
      <c r="F276" s="17">
        <v>240088</v>
      </c>
      <c r="G276" s="17">
        <v>240046</v>
      </c>
      <c r="H276">
        <f t="shared" si="13"/>
        <v>42</v>
      </c>
      <c r="I276">
        <v>101</v>
      </c>
      <c r="J276">
        <f t="shared" si="14"/>
        <v>10798</v>
      </c>
    </row>
    <row r="277" spans="1:10" x14ac:dyDescent="0.2">
      <c r="A277">
        <v>3</v>
      </c>
      <c r="B277" s="15" t="s">
        <v>417</v>
      </c>
      <c r="C277" t="s">
        <v>399</v>
      </c>
      <c r="D277" t="s">
        <v>401</v>
      </c>
      <c r="E277" s="17" t="s">
        <v>390</v>
      </c>
      <c r="F277" s="17">
        <v>250734</v>
      </c>
      <c r="G277" s="17">
        <v>250692</v>
      </c>
      <c r="H277">
        <f t="shared" si="13"/>
        <v>42</v>
      </c>
      <c r="I277">
        <v>101</v>
      </c>
      <c r="J277">
        <f t="shared" si="14"/>
        <v>10646</v>
      </c>
    </row>
    <row r="278" spans="1:10" x14ac:dyDescent="0.2">
      <c r="A278">
        <v>3</v>
      </c>
      <c r="B278" s="15" t="s">
        <v>417</v>
      </c>
      <c r="C278" t="s">
        <v>399</v>
      </c>
      <c r="D278" t="s">
        <v>401</v>
      </c>
      <c r="E278" s="17" t="s">
        <v>391</v>
      </c>
      <c r="F278" s="17">
        <v>261545</v>
      </c>
      <c r="G278" s="17">
        <v>261502</v>
      </c>
      <c r="H278">
        <f t="shared" si="13"/>
        <v>43</v>
      </c>
      <c r="I278">
        <v>101</v>
      </c>
      <c r="J278">
        <f t="shared" si="14"/>
        <v>10811</v>
      </c>
    </row>
    <row r="279" spans="1:10" x14ac:dyDescent="0.2">
      <c r="A279">
        <v>3</v>
      </c>
      <c r="B279" s="15" t="s">
        <v>417</v>
      </c>
      <c r="C279" t="s">
        <v>399</v>
      </c>
      <c r="D279" t="s">
        <v>401</v>
      </c>
      <c r="E279" s="17" t="s">
        <v>392</v>
      </c>
      <c r="F279" s="17">
        <v>272155</v>
      </c>
      <c r="G279" s="17">
        <v>272111</v>
      </c>
      <c r="H279">
        <f t="shared" si="13"/>
        <v>44</v>
      </c>
      <c r="I279">
        <v>101</v>
      </c>
      <c r="J279">
        <f t="shared" si="14"/>
        <v>10610</v>
      </c>
    </row>
    <row r="280" spans="1:10" x14ac:dyDescent="0.2">
      <c r="A280">
        <v>3</v>
      </c>
      <c r="B280" s="15" t="s">
        <v>417</v>
      </c>
      <c r="C280" t="s">
        <v>399</v>
      </c>
      <c r="D280" t="s">
        <v>401</v>
      </c>
      <c r="E280" s="17" t="s">
        <v>393</v>
      </c>
      <c r="F280" s="17">
        <v>282795</v>
      </c>
      <c r="G280" s="17">
        <v>282750</v>
      </c>
      <c r="H280">
        <f t="shared" si="13"/>
        <v>45</v>
      </c>
      <c r="I280">
        <v>101</v>
      </c>
      <c r="J280">
        <f t="shared" si="14"/>
        <v>10640</v>
      </c>
    </row>
    <row r="281" spans="1:10" x14ac:dyDescent="0.2">
      <c r="A281">
        <v>3</v>
      </c>
      <c r="B281" s="15" t="s">
        <v>417</v>
      </c>
      <c r="C281" t="s">
        <v>399</v>
      </c>
      <c r="D281" t="s">
        <v>401</v>
      </c>
      <c r="E281" s="17" t="s">
        <v>394</v>
      </c>
      <c r="F281" s="17">
        <v>293620</v>
      </c>
      <c r="G281" s="17">
        <v>293575</v>
      </c>
      <c r="H281">
        <f t="shared" si="13"/>
        <v>45</v>
      </c>
      <c r="I281">
        <v>101</v>
      </c>
      <c r="J281">
        <f t="shared" si="14"/>
        <v>10825</v>
      </c>
    </row>
    <row r="282" spans="1:10" x14ac:dyDescent="0.2">
      <c r="A282">
        <v>3</v>
      </c>
      <c r="B282" s="15" t="s">
        <v>417</v>
      </c>
      <c r="C282" t="s">
        <v>399</v>
      </c>
      <c r="D282" t="s">
        <v>401</v>
      </c>
      <c r="E282" s="17" t="s">
        <v>395</v>
      </c>
      <c r="F282" s="17">
        <v>304229</v>
      </c>
      <c r="G282" s="17">
        <v>304186</v>
      </c>
      <c r="H282">
        <f t="shared" si="13"/>
        <v>43</v>
      </c>
      <c r="I282">
        <v>101</v>
      </c>
      <c r="J282">
        <f t="shared" si="14"/>
        <v>10609</v>
      </c>
    </row>
    <row r="283" spans="1:10" x14ac:dyDescent="0.2">
      <c r="A283">
        <v>3</v>
      </c>
      <c r="B283" s="15" t="s">
        <v>417</v>
      </c>
      <c r="C283" t="s">
        <v>399</v>
      </c>
      <c r="D283" t="s">
        <v>401</v>
      </c>
      <c r="E283" s="17" t="s">
        <v>396</v>
      </c>
      <c r="F283" s="17">
        <v>315030</v>
      </c>
      <c r="G283" s="17">
        <v>314986</v>
      </c>
      <c r="H283">
        <f t="shared" si="13"/>
        <v>44</v>
      </c>
      <c r="I283">
        <v>101</v>
      </c>
      <c r="J283">
        <f t="shared" si="14"/>
        <v>10801</v>
      </c>
    </row>
    <row r="284" spans="1:10" x14ac:dyDescent="0.2">
      <c r="A284">
        <v>3</v>
      </c>
      <c r="B284" s="15" t="s">
        <v>417</v>
      </c>
      <c r="C284" t="s">
        <v>399</v>
      </c>
      <c r="D284" t="s">
        <v>380</v>
      </c>
      <c r="E284" s="17" t="s">
        <v>362</v>
      </c>
      <c r="F284" s="17">
        <v>5731</v>
      </c>
      <c r="G284" s="17">
        <v>5772</v>
      </c>
      <c r="H284">
        <f t="shared" si="13"/>
        <v>-41</v>
      </c>
      <c r="I284">
        <v>101</v>
      </c>
    </row>
    <row r="285" spans="1:10" x14ac:dyDescent="0.2">
      <c r="A285">
        <v>3</v>
      </c>
      <c r="B285" s="15" t="s">
        <v>417</v>
      </c>
      <c r="C285" t="s">
        <v>399</v>
      </c>
      <c r="D285" t="s">
        <v>380</v>
      </c>
      <c r="E285" s="17" t="s">
        <v>363</v>
      </c>
      <c r="F285" s="17">
        <v>16520</v>
      </c>
      <c r="G285" s="17">
        <v>16561</v>
      </c>
      <c r="H285">
        <f t="shared" si="13"/>
        <v>-41</v>
      </c>
      <c r="I285">
        <v>101</v>
      </c>
      <c r="J285">
        <f t="shared" ref="J285:J313" si="15">F285-F284</f>
        <v>10789</v>
      </c>
    </row>
    <row r="286" spans="1:10" x14ac:dyDescent="0.2">
      <c r="A286">
        <v>3</v>
      </c>
      <c r="B286" s="15" t="s">
        <v>417</v>
      </c>
      <c r="C286" t="s">
        <v>399</v>
      </c>
      <c r="D286" t="s">
        <v>380</v>
      </c>
      <c r="E286" s="17" t="s">
        <v>364</v>
      </c>
      <c r="F286" s="17">
        <v>27131</v>
      </c>
      <c r="G286" s="17">
        <v>27177</v>
      </c>
      <c r="H286">
        <f t="shared" si="13"/>
        <v>-46</v>
      </c>
      <c r="I286">
        <v>101</v>
      </c>
      <c r="J286">
        <f t="shared" si="15"/>
        <v>10611</v>
      </c>
    </row>
    <row r="287" spans="1:10" x14ac:dyDescent="0.2">
      <c r="A287">
        <v>3</v>
      </c>
      <c r="B287" s="15" t="s">
        <v>417</v>
      </c>
      <c r="C287" t="s">
        <v>399</v>
      </c>
      <c r="D287" t="s">
        <v>380</v>
      </c>
      <c r="E287" s="17" t="s">
        <v>365</v>
      </c>
      <c r="F287" s="17">
        <v>37729</v>
      </c>
      <c r="G287" s="17">
        <v>37772</v>
      </c>
      <c r="H287">
        <f t="shared" ref="H287:H346" si="16">F287-G287</f>
        <v>-43</v>
      </c>
      <c r="I287">
        <v>101</v>
      </c>
      <c r="J287">
        <f t="shared" si="15"/>
        <v>10598</v>
      </c>
    </row>
    <row r="288" spans="1:10" x14ac:dyDescent="0.2">
      <c r="A288">
        <v>3</v>
      </c>
      <c r="B288" s="15" t="s">
        <v>417</v>
      </c>
      <c r="C288" t="s">
        <v>399</v>
      </c>
      <c r="D288" t="s">
        <v>380</v>
      </c>
      <c r="E288" s="17" t="s">
        <v>366</v>
      </c>
      <c r="F288" s="17">
        <v>48529</v>
      </c>
      <c r="G288" s="17">
        <v>48571</v>
      </c>
      <c r="H288">
        <f t="shared" si="16"/>
        <v>-42</v>
      </c>
      <c r="I288">
        <v>101</v>
      </c>
      <c r="J288">
        <f t="shared" si="15"/>
        <v>10800</v>
      </c>
    </row>
    <row r="289" spans="1:10" x14ac:dyDescent="0.2">
      <c r="A289">
        <v>3</v>
      </c>
      <c r="B289" s="15" t="s">
        <v>417</v>
      </c>
      <c r="C289" t="s">
        <v>399</v>
      </c>
      <c r="D289" t="s">
        <v>380</v>
      </c>
      <c r="E289" s="17" t="s">
        <v>367</v>
      </c>
      <c r="F289" s="17">
        <v>59323</v>
      </c>
      <c r="G289" s="17">
        <v>59368</v>
      </c>
      <c r="H289">
        <f t="shared" si="16"/>
        <v>-45</v>
      </c>
      <c r="I289">
        <v>101</v>
      </c>
      <c r="J289">
        <f t="shared" si="15"/>
        <v>10794</v>
      </c>
    </row>
    <row r="290" spans="1:10" x14ac:dyDescent="0.2">
      <c r="A290">
        <v>3</v>
      </c>
      <c r="B290" s="15" t="s">
        <v>417</v>
      </c>
      <c r="C290" t="s">
        <v>399</v>
      </c>
      <c r="D290" t="s">
        <v>380</v>
      </c>
      <c r="E290" s="17" t="s">
        <v>368</v>
      </c>
      <c r="F290" s="17">
        <v>69930</v>
      </c>
      <c r="G290" s="17">
        <v>69972</v>
      </c>
      <c r="H290">
        <f t="shared" si="16"/>
        <v>-42</v>
      </c>
      <c r="I290">
        <v>101</v>
      </c>
      <c r="J290">
        <f t="shared" si="15"/>
        <v>10607</v>
      </c>
    </row>
    <row r="291" spans="1:10" x14ac:dyDescent="0.2">
      <c r="A291">
        <v>3</v>
      </c>
      <c r="B291" s="15" t="s">
        <v>417</v>
      </c>
      <c r="C291" t="s">
        <v>399</v>
      </c>
      <c r="D291" t="s">
        <v>380</v>
      </c>
      <c r="E291" s="17" t="s">
        <v>369</v>
      </c>
      <c r="F291" s="17">
        <v>80691</v>
      </c>
      <c r="G291" s="17">
        <v>80737</v>
      </c>
      <c r="H291">
        <f t="shared" si="16"/>
        <v>-46</v>
      </c>
      <c r="I291">
        <v>101</v>
      </c>
      <c r="J291">
        <f t="shared" si="15"/>
        <v>10761</v>
      </c>
    </row>
    <row r="292" spans="1:10" x14ac:dyDescent="0.2">
      <c r="A292">
        <v>3</v>
      </c>
      <c r="B292" s="15" t="s">
        <v>417</v>
      </c>
      <c r="C292" t="s">
        <v>399</v>
      </c>
      <c r="D292" t="s">
        <v>380</v>
      </c>
      <c r="E292" s="17" t="s">
        <v>370</v>
      </c>
      <c r="F292" s="17">
        <v>91242</v>
      </c>
      <c r="G292" s="17">
        <v>91285</v>
      </c>
      <c r="H292">
        <f t="shared" si="16"/>
        <v>-43</v>
      </c>
      <c r="I292">
        <v>101</v>
      </c>
      <c r="J292">
        <f t="shared" si="15"/>
        <v>10551</v>
      </c>
    </row>
    <row r="293" spans="1:10" x14ac:dyDescent="0.2">
      <c r="A293">
        <v>3</v>
      </c>
      <c r="B293" s="15" t="s">
        <v>417</v>
      </c>
      <c r="C293" t="s">
        <v>399</v>
      </c>
      <c r="D293" t="s">
        <v>380</v>
      </c>
      <c r="E293" s="17" t="s">
        <v>371</v>
      </c>
      <c r="F293" s="17">
        <v>102006</v>
      </c>
      <c r="G293" s="17">
        <v>102046</v>
      </c>
      <c r="H293">
        <f t="shared" si="16"/>
        <v>-40</v>
      </c>
      <c r="I293">
        <v>101</v>
      </c>
      <c r="J293">
        <f t="shared" si="15"/>
        <v>10764</v>
      </c>
    </row>
    <row r="294" spans="1:10" x14ac:dyDescent="0.2">
      <c r="A294">
        <v>3</v>
      </c>
      <c r="B294" s="15" t="s">
        <v>417</v>
      </c>
      <c r="C294" t="s">
        <v>399</v>
      </c>
      <c r="D294" t="s">
        <v>380</v>
      </c>
      <c r="E294" s="17" t="s">
        <v>372</v>
      </c>
      <c r="F294" s="17">
        <v>112751</v>
      </c>
      <c r="G294" s="17">
        <v>112797</v>
      </c>
      <c r="H294">
        <f t="shared" si="16"/>
        <v>-46</v>
      </c>
      <c r="I294">
        <v>101</v>
      </c>
      <c r="J294">
        <f t="shared" si="15"/>
        <v>10745</v>
      </c>
    </row>
    <row r="295" spans="1:10" x14ac:dyDescent="0.2">
      <c r="A295">
        <v>3</v>
      </c>
      <c r="B295" s="15" t="s">
        <v>417</v>
      </c>
      <c r="C295" t="s">
        <v>399</v>
      </c>
      <c r="D295" t="s">
        <v>380</v>
      </c>
      <c r="E295" s="17" t="s">
        <v>373</v>
      </c>
      <c r="F295" s="17">
        <v>123421</v>
      </c>
      <c r="G295" s="17">
        <v>123466</v>
      </c>
      <c r="H295">
        <f t="shared" si="16"/>
        <v>-45</v>
      </c>
      <c r="I295">
        <v>101</v>
      </c>
      <c r="J295">
        <f t="shared" si="15"/>
        <v>10670</v>
      </c>
    </row>
    <row r="296" spans="1:10" x14ac:dyDescent="0.2">
      <c r="A296">
        <v>3</v>
      </c>
      <c r="B296" s="15" t="s">
        <v>417</v>
      </c>
      <c r="C296" t="s">
        <v>399</v>
      </c>
      <c r="D296" t="s">
        <v>380</v>
      </c>
      <c r="E296" s="17" t="s">
        <v>374</v>
      </c>
      <c r="F296" s="17">
        <v>134249</v>
      </c>
      <c r="G296" s="17">
        <v>134293</v>
      </c>
      <c r="H296">
        <f t="shared" si="16"/>
        <v>-44</v>
      </c>
      <c r="I296">
        <v>101</v>
      </c>
      <c r="J296">
        <f t="shared" si="15"/>
        <v>10828</v>
      </c>
    </row>
    <row r="297" spans="1:10" x14ac:dyDescent="0.2">
      <c r="A297">
        <v>3</v>
      </c>
      <c r="B297" s="15" t="s">
        <v>417</v>
      </c>
      <c r="C297" t="s">
        <v>399</v>
      </c>
      <c r="D297" t="s">
        <v>380</v>
      </c>
      <c r="E297" s="17" t="s">
        <v>375</v>
      </c>
      <c r="F297" s="17">
        <v>144893</v>
      </c>
      <c r="G297" s="17">
        <v>144937</v>
      </c>
      <c r="H297">
        <f t="shared" si="16"/>
        <v>-44</v>
      </c>
      <c r="I297">
        <v>101</v>
      </c>
      <c r="J297">
        <f t="shared" si="15"/>
        <v>10644</v>
      </c>
    </row>
    <row r="298" spans="1:10" x14ac:dyDescent="0.2">
      <c r="A298">
        <v>3</v>
      </c>
      <c r="B298" s="15" t="s">
        <v>417</v>
      </c>
      <c r="C298" t="s">
        <v>399</v>
      </c>
      <c r="D298" t="s">
        <v>380</v>
      </c>
      <c r="E298" s="17" t="s">
        <v>376</v>
      </c>
      <c r="F298" s="17">
        <v>155684</v>
      </c>
      <c r="G298" s="17">
        <v>155731</v>
      </c>
      <c r="H298">
        <f t="shared" si="16"/>
        <v>-47</v>
      </c>
      <c r="I298">
        <v>101</v>
      </c>
      <c r="J298">
        <f t="shared" si="15"/>
        <v>10791</v>
      </c>
    </row>
    <row r="299" spans="1:10" x14ac:dyDescent="0.2">
      <c r="A299">
        <v>3</v>
      </c>
      <c r="B299" s="15" t="s">
        <v>417</v>
      </c>
      <c r="C299" t="s">
        <v>399</v>
      </c>
      <c r="D299" t="s">
        <v>380</v>
      </c>
      <c r="E299" s="17" t="s">
        <v>377</v>
      </c>
      <c r="F299" s="17">
        <v>166306</v>
      </c>
      <c r="G299" s="17">
        <v>166347</v>
      </c>
      <c r="H299">
        <f t="shared" si="16"/>
        <v>-41</v>
      </c>
      <c r="I299">
        <v>101</v>
      </c>
      <c r="J299">
        <f t="shared" si="15"/>
        <v>10622</v>
      </c>
    </row>
    <row r="300" spans="1:10" x14ac:dyDescent="0.2">
      <c r="A300">
        <v>3</v>
      </c>
      <c r="B300" s="15" t="s">
        <v>417</v>
      </c>
      <c r="C300" t="s">
        <v>399</v>
      </c>
      <c r="D300" t="s">
        <v>380</v>
      </c>
      <c r="E300" s="17" t="s">
        <v>378</v>
      </c>
      <c r="F300" s="17">
        <v>177089</v>
      </c>
      <c r="G300" s="17">
        <v>177135</v>
      </c>
      <c r="H300">
        <f t="shared" si="16"/>
        <v>-46</v>
      </c>
      <c r="I300">
        <v>101</v>
      </c>
      <c r="J300">
        <f t="shared" si="15"/>
        <v>10783</v>
      </c>
    </row>
    <row r="301" spans="1:10" x14ac:dyDescent="0.2">
      <c r="A301">
        <v>3</v>
      </c>
      <c r="B301" s="15" t="s">
        <v>417</v>
      </c>
      <c r="C301" t="s">
        <v>399</v>
      </c>
      <c r="D301" t="s">
        <v>380</v>
      </c>
      <c r="E301" s="17" t="s">
        <v>384</v>
      </c>
      <c r="F301" s="17">
        <v>187680</v>
      </c>
      <c r="G301" s="17">
        <v>187723</v>
      </c>
      <c r="H301">
        <f t="shared" si="16"/>
        <v>-43</v>
      </c>
      <c r="I301">
        <v>101</v>
      </c>
      <c r="J301">
        <f t="shared" si="15"/>
        <v>10591</v>
      </c>
    </row>
    <row r="302" spans="1:10" x14ac:dyDescent="0.2">
      <c r="A302">
        <v>3</v>
      </c>
      <c r="B302" s="15" t="s">
        <v>417</v>
      </c>
      <c r="C302" t="s">
        <v>399</v>
      </c>
      <c r="D302" t="s">
        <v>380</v>
      </c>
      <c r="E302" s="17" t="s">
        <v>385</v>
      </c>
      <c r="F302" s="17">
        <v>198478</v>
      </c>
      <c r="G302" s="17">
        <v>198516</v>
      </c>
      <c r="H302">
        <f t="shared" si="16"/>
        <v>-38</v>
      </c>
      <c r="I302">
        <v>101</v>
      </c>
      <c r="J302">
        <f t="shared" si="15"/>
        <v>10798</v>
      </c>
    </row>
    <row r="303" spans="1:10" x14ac:dyDescent="0.2">
      <c r="A303">
        <v>3</v>
      </c>
      <c r="B303" s="15" t="s">
        <v>417</v>
      </c>
      <c r="C303" t="s">
        <v>399</v>
      </c>
      <c r="D303" t="s">
        <v>380</v>
      </c>
      <c r="E303" s="17" t="s">
        <v>386</v>
      </c>
      <c r="F303" s="17">
        <v>209094</v>
      </c>
      <c r="G303" s="17">
        <v>209135</v>
      </c>
      <c r="H303">
        <f t="shared" si="16"/>
        <v>-41</v>
      </c>
      <c r="I303">
        <v>101</v>
      </c>
      <c r="J303">
        <f t="shared" si="15"/>
        <v>10616</v>
      </c>
    </row>
    <row r="304" spans="1:10" x14ac:dyDescent="0.2">
      <c r="A304">
        <v>3</v>
      </c>
      <c r="B304" s="15" t="s">
        <v>417</v>
      </c>
      <c r="C304" t="s">
        <v>399</v>
      </c>
      <c r="D304" t="s">
        <v>380</v>
      </c>
      <c r="E304" s="17" t="s">
        <v>387</v>
      </c>
      <c r="F304" s="17">
        <v>219892</v>
      </c>
      <c r="G304" s="17">
        <v>219932</v>
      </c>
      <c r="H304">
        <f t="shared" si="16"/>
        <v>-40</v>
      </c>
      <c r="I304">
        <v>101</v>
      </c>
      <c r="J304">
        <f t="shared" si="15"/>
        <v>10798</v>
      </c>
    </row>
    <row r="305" spans="1:10" x14ac:dyDescent="0.2">
      <c r="A305">
        <v>3</v>
      </c>
      <c r="B305" s="15" t="s">
        <v>417</v>
      </c>
      <c r="C305" t="s">
        <v>399</v>
      </c>
      <c r="D305" t="s">
        <v>380</v>
      </c>
      <c r="E305" s="17" t="s">
        <v>388</v>
      </c>
      <c r="F305" s="17">
        <v>230541</v>
      </c>
      <c r="G305" s="17">
        <v>230583</v>
      </c>
      <c r="H305">
        <f t="shared" si="16"/>
        <v>-42</v>
      </c>
      <c r="I305">
        <v>101</v>
      </c>
      <c r="J305">
        <f t="shared" si="15"/>
        <v>10649</v>
      </c>
    </row>
    <row r="306" spans="1:10" x14ac:dyDescent="0.2">
      <c r="A306">
        <v>3</v>
      </c>
      <c r="B306" s="15" t="s">
        <v>417</v>
      </c>
      <c r="C306" t="s">
        <v>399</v>
      </c>
      <c r="D306" t="s">
        <v>380</v>
      </c>
      <c r="E306" s="17" t="s">
        <v>389</v>
      </c>
      <c r="F306" s="17">
        <v>241331</v>
      </c>
      <c r="G306" s="17">
        <v>241374</v>
      </c>
      <c r="H306">
        <f t="shared" si="16"/>
        <v>-43</v>
      </c>
      <c r="I306">
        <v>101</v>
      </c>
      <c r="J306">
        <f t="shared" si="15"/>
        <v>10790</v>
      </c>
    </row>
    <row r="307" spans="1:10" x14ac:dyDescent="0.2">
      <c r="A307">
        <v>3</v>
      </c>
      <c r="B307" s="15" t="s">
        <v>417</v>
      </c>
      <c r="C307" t="s">
        <v>399</v>
      </c>
      <c r="D307" t="s">
        <v>380</v>
      </c>
      <c r="E307" s="17" t="s">
        <v>390</v>
      </c>
      <c r="F307" s="17">
        <v>251981</v>
      </c>
      <c r="G307" s="17">
        <v>252025</v>
      </c>
      <c r="H307">
        <f t="shared" si="16"/>
        <v>-44</v>
      </c>
      <c r="I307">
        <v>101</v>
      </c>
      <c r="J307">
        <f t="shared" si="15"/>
        <v>10650</v>
      </c>
    </row>
    <row r="308" spans="1:10" x14ac:dyDescent="0.2">
      <c r="A308">
        <v>3</v>
      </c>
      <c r="B308" s="15" t="s">
        <v>417</v>
      </c>
      <c r="C308" t="s">
        <v>399</v>
      </c>
      <c r="D308" t="s">
        <v>380</v>
      </c>
      <c r="E308" s="17" t="s">
        <v>391</v>
      </c>
      <c r="F308" s="17">
        <v>262790</v>
      </c>
      <c r="G308" s="17">
        <v>262835</v>
      </c>
      <c r="H308">
        <f t="shared" si="16"/>
        <v>-45</v>
      </c>
      <c r="I308">
        <v>101</v>
      </c>
      <c r="J308">
        <f t="shared" si="15"/>
        <v>10809</v>
      </c>
    </row>
    <row r="309" spans="1:10" x14ac:dyDescent="0.2">
      <c r="A309">
        <v>3</v>
      </c>
      <c r="B309" s="15" t="s">
        <v>417</v>
      </c>
      <c r="C309" t="s">
        <v>399</v>
      </c>
      <c r="D309" t="s">
        <v>380</v>
      </c>
      <c r="E309" s="17" t="s">
        <v>392</v>
      </c>
      <c r="F309" s="17">
        <v>273402</v>
      </c>
      <c r="G309" s="17">
        <v>273448</v>
      </c>
      <c r="H309">
        <f t="shared" si="16"/>
        <v>-46</v>
      </c>
      <c r="I309">
        <v>101</v>
      </c>
      <c r="J309">
        <f t="shared" si="15"/>
        <v>10612</v>
      </c>
    </row>
    <row r="310" spans="1:10" x14ac:dyDescent="0.2">
      <c r="A310">
        <v>3</v>
      </c>
      <c r="B310" s="15" t="s">
        <v>417</v>
      </c>
      <c r="C310" t="s">
        <v>399</v>
      </c>
      <c r="D310" t="s">
        <v>380</v>
      </c>
      <c r="E310" s="17" t="s">
        <v>393</v>
      </c>
      <c r="F310" s="17">
        <v>284041</v>
      </c>
      <c r="G310" s="17">
        <v>284081</v>
      </c>
      <c r="H310">
        <f t="shared" si="16"/>
        <v>-40</v>
      </c>
      <c r="I310">
        <v>101</v>
      </c>
      <c r="J310">
        <f t="shared" si="15"/>
        <v>10639</v>
      </c>
    </row>
    <row r="311" spans="1:10" x14ac:dyDescent="0.2">
      <c r="A311">
        <v>3</v>
      </c>
      <c r="B311" s="15" t="s">
        <v>417</v>
      </c>
      <c r="C311" t="s">
        <v>399</v>
      </c>
      <c r="D311" t="s">
        <v>380</v>
      </c>
      <c r="E311" s="17" t="s">
        <v>394</v>
      </c>
      <c r="F311" s="17">
        <v>294866</v>
      </c>
      <c r="G311" s="17">
        <v>294911</v>
      </c>
      <c r="H311">
        <f t="shared" si="16"/>
        <v>-45</v>
      </c>
      <c r="I311">
        <v>101</v>
      </c>
      <c r="J311">
        <f t="shared" si="15"/>
        <v>10825</v>
      </c>
    </row>
    <row r="312" spans="1:10" x14ac:dyDescent="0.2">
      <c r="A312">
        <v>3</v>
      </c>
      <c r="B312" s="15" t="s">
        <v>417</v>
      </c>
      <c r="C312" t="s">
        <v>399</v>
      </c>
      <c r="D312" t="s">
        <v>380</v>
      </c>
      <c r="E312" s="17" t="s">
        <v>395</v>
      </c>
      <c r="F312" s="17">
        <v>305482</v>
      </c>
      <c r="G312" s="17">
        <v>305523</v>
      </c>
      <c r="H312">
        <f t="shared" si="16"/>
        <v>-41</v>
      </c>
      <c r="I312">
        <v>101</v>
      </c>
      <c r="J312">
        <f t="shared" si="15"/>
        <v>10616</v>
      </c>
    </row>
    <row r="313" spans="1:10" x14ac:dyDescent="0.2">
      <c r="A313">
        <v>3</v>
      </c>
      <c r="B313" s="15" t="s">
        <v>417</v>
      </c>
      <c r="C313" t="s">
        <v>399</v>
      </c>
      <c r="D313" t="s">
        <v>380</v>
      </c>
      <c r="E313" s="17" t="s">
        <v>396</v>
      </c>
      <c r="F313" s="17">
        <v>316278</v>
      </c>
      <c r="G313" s="17">
        <v>316316</v>
      </c>
      <c r="H313">
        <f t="shared" si="16"/>
        <v>-38</v>
      </c>
      <c r="I313">
        <v>101</v>
      </c>
      <c r="J313">
        <f t="shared" si="15"/>
        <v>10796</v>
      </c>
    </row>
    <row r="314" spans="1:10" x14ac:dyDescent="0.2">
      <c r="A314">
        <v>3</v>
      </c>
      <c r="B314" s="15" t="s">
        <v>417</v>
      </c>
      <c r="C314" t="s">
        <v>399</v>
      </c>
      <c r="D314" t="s">
        <v>401</v>
      </c>
      <c r="E314" s="17" t="s">
        <v>362</v>
      </c>
      <c r="F314" s="17">
        <v>4481</v>
      </c>
      <c r="G314" s="17">
        <v>4464</v>
      </c>
      <c r="H314">
        <f t="shared" si="16"/>
        <v>17</v>
      </c>
      <c r="I314">
        <v>41</v>
      </c>
    </row>
    <row r="315" spans="1:10" x14ac:dyDescent="0.2">
      <c r="A315">
        <v>3</v>
      </c>
      <c r="B315" s="15" t="s">
        <v>417</v>
      </c>
      <c r="C315" t="s">
        <v>399</v>
      </c>
      <c r="D315" t="s">
        <v>401</v>
      </c>
      <c r="E315" s="17" t="s">
        <v>363</v>
      </c>
      <c r="F315" s="17">
        <v>15270</v>
      </c>
      <c r="G315" s="17">
        <v>15258</v>
      </c>
      <c r="H315">
        <f t="shared" si="16"/>
        <v>12</v>
      </c>
      <c r="I315">
        <v>41</v>
      </c>
      <c r="J315">
        <f t="shared" ref="J315:J343" si="17">F315-F314</f>
        <v>10789</v>
      </c>
    </row>
    <row r="316" spans="1:10" x14ac:dyDescent="0.2">
      <c r="A316">
        <v>3</v>
      </c>
      <c r="B316" s="15" t="s">
        <v>417</v>
      </c>
      <c r="C316" t="s">
        <v>399</v>
      </c>
      <c r="D316" t="s">
        <v>401</v>
      </c>
      <c r="E316" s="17" t="s">
        <v>364</v>
      </c>
      <c r="F316" s="17">
        <v>25882</v>
      </c>
      <c r="G316" s="17">
        <v>25867</v>
      </c>
      <c r="H316">
        <f t="shared" si="16"/>
        <v>15</v>
      </c>
      <c r="I316">
        <v>41</v>
      </c>
      <c r="J316">
        <f t="shared" si="17"/>
        <v>10612</v>
      </c>
    </row>
    <row r="317" spans="1:10" x14ac:dyDescent="0.2">
      <c r="A317">
        <v>3</v>
      </c>
      <c r="B317" s="15" t="s">
        <v>417</v>
      </c>
      <c r="C317" t="s">
        <v>399</v>
      </c>
      <c r="D317" t="s">
        <v>401</v>
      </c>
      <c r="E317" s="17" t="s">
        <v>365</v>
      </c>
      <c r="F317" s="17">
        <v>36484</v>
      </c>
      <c r="G317" s="17">
        <v>36469</v>
      </c>
      <c r="H317">
        <f t="shared" si="16"/>
        <v>15</v>
      </c>
      <c r="I317">
        <v>41</v>
      </c>
      <c r="J317">
        <f t="shared" si="17"/>
        <v>10602</v>
      </c>
    </row>
    <row r="318" spans="1:10" x14ac:dyDescent="0.2">
      <c r="A318">
        <v>3</v>
      </c>
      <c r="B318" s="15" t="s">
        <v>417</v>
      </c>
      <c r="C318" t="s">
        <v>399</v>
      </c>
      <c r="D318" t="s">
        <v>401</v>
      </c>
      <c r="E318" s="17" t="s">
        <v>366</v>
      </c>
      <c r="F318" s="17">
        <v>47279</v>
      </c>
      <c r="G318" s="17">
        <v>47263</v>
      </c>
      <c r="H318">
        <f t="shared" si="16"/>
        <v>16</v>
      </c>
      <c r="I318">
        <v>41</v>
      </c>
      <c r="J318">
        <f t="shared" si="17"/>
        <v>10795</v>
      </c>
    </row>
    <row r="319" spans="1:10" x14ac:dyDescent="0.2">
      <c r="A319">
        <v>3</v>
      </c>
      <c r="B319" s="15" t="s">
        <v>417</v>
      </c>
      <c r="C319" t="s">
        <v>399</v>
      </c>
      <c r="D319" t="s">
        <v>401</v>
      </c>
      <c r="E319" s="17" t="s">
        <v>367</v>
      </c>
      <c r="F319" s="17">
        <v>58077</v>
      </c>
      <c r="G319" s="17">
        <v>58063</v>
      </c>
      <c r="H319">
        <f t="shared" si="16"/>
        <v>14</v>
      </c>
      <c r="I319">
        <v>41</v>
      </c>
      <c r="J319">
        <f t="shared" si="17"/>
        <v>10798</v>
      </c>
    </row>
    <row r="320" spans="1:10" x14ac:dyDescent="0.2">
      <c r="A320">
        <v>3</v>
      </c>
      <c r="B320" s="15" t="s">
        <v>417</v>
      </c>
      <c r="C320" t="s">
        <v>399</v>
      </c>
      <c r="D320" t="s">
        <v>401</v>
      </c>
      <c r="E320" s="17" t="s">
        <v>368</v>
      </c>
      <c r="F320" s="17">
        <v>68676</v>
      </c>
      <c r="G320" s="17">
        <v>68661</v>
      </c>
      <c r="H320">
        <f t="shared" si="16"/>
        <v>15</v>
      </c>
      <c r="I320">
        <v>41</v>
      </c>
      <c r="J320">
        <f t="shared" si="17"/>
        <v>10599</v>
      </c>
    </row>
    <row r="321" spans="1:10" x14ac:dyDescent="0.2">
      <c r="A321">
        <v>3</v>
      </c>
      <c r="B321" s="15" t="s">
        <v>417</v>
      </c>
      <c r="C321" t="s">
        <v>399</v>
      </c>
      <c r="D321" t="s">
        <v>401</v>
      </c>
      <c r="E321" s="17" t="s">
        <v>369</v>
      </c>
      <c r="F321" s="17">
        <v>79441</v>
      </c>
      <c r="G321" s="17">
        <v>79426</v>
      </c>
      <c r="H321">
        <f t="shared" si="16"/>
        <v>15</v>
      </c>
      <c r="I321">
        <v>41</v>
      </c>
      <c r="J321">
        <f t="shared" si="17"/>
        <v>10765</v>
      </c>
    </row>
    <row r="322" spans="1:10" x14ac:dyDescent="0.2">
      <c r="A322">
        <v>3</v>
      </c>
      <c r="B322" s="15" t="s">
        <v>417</v>
      </c>
      <c r="C322" t="s">
        <v>399</v>
      </c>
      <c r="D322" t="s">
        <v>401</v>
      </c>
      <c r="E322" s="17" t="s">
        <v>370</v>
      </c>
      <c r="F322" s="17">
        <v>89969</v>
      </c>
      <c r="G322" s="17">
        <v>89977</v>
      </c>
      <c r="H322">
        <f t="shared" si="16"/>
        <v>-8</v>
      </c>
      <c r="I322">
        <v>41</v>
      </c>
      <c r="J322">
        <f t="shared" si="17"/>
        <v>10528</v>
      </c>
    </row>
    <row r="323" spans="1:10" x14ac:dyDescent="0.2">
      <c r="A323">
        <v>3</v>
      </c>
      <c r="B323" s="15" t="s">
        <v>417</v>
      </c>
      <c r="C323" t="s">
        <v>399</v>
      </c>
      <c r="D323" t="s">
        <v>401</v>
      </c>
      <c r="E323" s="17" t="s">
        <v>371</v>
      </c>
      <c r="F323" s="17">
        <v>100754</v>
      </c>
      <c r="G323" s="17">
        <v>100739</v>
      </c>
      <c r="H323">
        <f t="shared" si="16"/>
        <v>15</v>
      </c>
      <c r="I323">
        <v>41</v>
      </c>
      <c r="J323">
        <f t="shared" si="17"/>
        <v>10785</v>
      </c>
    </row>
    <row r="324" spans="1:10" x14ac:dyDescent="0.2">
      <c r="A324">
        <v>3</v>
      </c>
      <c r="B324" s="15" t="s">
        <v>417</v>
      </c>
      <c r="C324" t="s">
        <v>399</v>
      </c>
      <c r="D324" t="s">
        <v>401</v>
      </c>
      <c r="E324" s="17" t="s">
        <v>372</v>
      </c>
      <c r="F324" s="17">
        <v>111503</v>
      </c>
      <c r="G324" s="17">
        <v>111488</v>
      </c>
      <c r="H324">
        <f t="shared" si="16"/>
        <v>15</v>
      </c>
      <c r="I324">
        <v>41</v>
      </c>
      <c r="J324">
        <f t="shared" si="17"/>
        <v>10749</v>
      </c>
    </row>
    <row r="325" spans="1:10" x14ac:dyDescent="0.2">
      <c r="A325">
        <v>3</v>
      </c>
      <c r="B325" s="15" t="s">
        <v>417</v>
      </c>
      <c r="C325" t="s">
        <v>399</v>
      </c>
      <c r="D325" t="s">
        <v>401</v>
      </c>
      <c r="E325" s="17" t="s">
        <v>373</v>
      </c>
      <c r="F325" s="17">
        <v>122175</v>
      </c>
      <c r="G325" s="17">
        <v>122160</v>
      </c>
      <c r="H325">
        <f t="shared" si="16"/>
        <v>15</v>
      </c>
      <c r="I325">
        <v>41</v>
      </c>
      <c r="J325">
        <f t="shared" si="17"/>
        <v>10672</v>
      </c>
    </row>
    <row r="326" spans="1:10" x14ac:dyDescent="0.2">
      <c r="A326">
        <v>3</v>
      </c>
      <c r="B326" s="15" t="s">
        <v>417</v>
      </c>
      <c r="C326" t="s">
        <v>399</v>
      </c>
      <c r="D326" t="s">
        <v>401</v>
      </c>
      <c r="E326" s="17" t="s">
        <v>374</v>
      </c>
      <c r="F326" s="17">
        <v>133004</v>
      </c>
      <c r="G326" s="17">
        <v>132988</v>
      </c>
      <c r="H326">
        <f t="shared" si="16"/>
        <v>16</v>
      </c>
      <c r="I326">
        <v>41</v>
      </c>
      <c r="J326">
        <f t="shared" si="17"/>
        <v>10829</v>
      </c>
    </row>
    <row r="327" spans="1:10" x14ac:dyDescent="0.2">
      <c r="A327">
        <v>3</v>
      </c>
      <c r="B327" s="15" t="s">
        <v>417</v>
      </c>
      <c r="C327" t="s">
        <v>399</v>
      </c>
      <c r="D327" t="s">
        <v>401</v>
      </c>
      <c r="E327" s="17" t="s">
        <v>375</v>
      </c>
      <c r="F327" s="17">
        <v>143647</v>
      </c>
      <c r="G327" s="17">
        <v>143633</v>
      </c>
      <c r="H327">
        <f t="shared" si="16"/>
        <v>14</v>
      </c>
      <c r="I327">
        <v>41</v>
      </c>
      <c r="J327">
        <f t="shared" si="17"/>
        <v>10643</v>
      </c>
    </row>
    <row r="328" spans="1:10" x14ac:dyDescent="0.2">
      <c r="A328">
        <v>3</v>
      </c>
      <c r="B328" s="15" t="s">
        <v>417</v>
      </c>
      <c r="C328" t="s">
        <v>399</v>
      </c>
      <c r="D328" t="s">
        <v>401</v>
      </c>
      <c r="E328" s="17" t="s">
        <v>376</v>
      </c>
      <c r="F328" s="17">
        <v>154437</v>
      </c>
      <c r="G328" s="17">
        <v>154423</v>
      </c>
      <c r="H328">
        <f t="shared" si="16"/>
        <v>14</v>
      </c>
      <c r="I328">
        <v>41</v>
      </c>
      <c r="J328">
        <f t="shared" si="17"/>
        <v>10790</v>
      </c>
    </row>
    <row r="329" spans="1:10" x14ac:dyDescent="0.2">
      <c r="A329">
        <v>3</v>
      </c>
      <c r="B329" s="15" t="s">
        <v>417</v>
      </c>
      <c r="C329" t="s">
        <v>399</v>
      </c>
      <c r="D329" t="s">
        <v>401</v>
      </c>
      <c r="E329" s="17" t="s">
        <v>377</v>
      </c>
      <c r="F329" s="17">
        <v>165060</v>
      </c>
      <c r="G329" s="17">
        <v>165046</v>
      </c>
      <c r="H329">
        <f t="shared" si="16"/>
        <v>14</v>
      </c>
      <c r="I329">
        <v>41</v>
      </c>
      <c r="J329">
        <f t="shared" si="17"/>
        <v>10623</v>
      </c>
    </row>
    <row r="330" spans="1:10" x14ac:dyDescent="0.2">
      <c r="A330">
        <v>3</v>
      </c>
      <c r="B330" s="15" t="s">
        <v>417</v>
      </c>
      <c r="C330" t="s">
        <v>399</v>
      </c>
      <c r="D330" t="s">
        <v>401</v>
      </c>
      <c r="E330" s="17" t="s">
        <v>378</v>
      </c>
      <c r="F330" s="17">
        <v>175845</v>
      </c>
      <c r="G330" s="17">
        <v>175831</v>
      </c>
      <c r="H330">
        <f t="shared" si="16"/>
        <v>14</v>
      </c>
      <c r="I330">
        <v>41</v>
      </c>
      <c r="J330">
        <f t="shared" si="17"/>
        <v>10785</v>
      </c>
    </row>
    <row r="331" spans="1:10" x14ac:dyDescent="0.2">
      <c r="A331">
        <v>3</v>
      </c>
      <c r="B331" s="15" t="s">
        <v>417</v>
      </c>
      <c r="C331" t="s">
        <v>399</v>
      </c>
      <c r="D331" t="s">
        <v>401</v>
      </c>
      <c r="E331" s="17" t="s">
        <v>384</v>
      </c>
      <c r="F331" s="17">
        <v>186436</v>
      </c>
      <c r="G331" s="17">
        <v>186421</v>
      </c>
      <c r="H331">
        <f t="shared" si="16"/>
        <v>15</v>
      </c>
      <c r="I331">
        <v>41</v>
      </c>
      <c r="J331">
        <f t="shared" si="17"/>
        <v>10591</v>
      </c>
    </row>
    <row r="332" spans="1:10" x14ac:dyDescent="0.2">
      <c r="A332">
        <v>3</v>
      </c>
      <c r="B332" s="15" t="s">
        <v>417</v>
      </c>
      <c r="C332" t="s">
        <v>399</v>
      </c>
      <c r="D332" t="s">
        <v>401</v>
      </c>
      <c r="E332" s="17" t="s">
        <v>385</v>
      </c>
      <c r="F332" s="17">
        <v>197228</v>
      </c>
      <c r="G332" s="17">
        <v>197214</v>
      </c>
      <c r="H332">
        <f t="shared" si="16"/>
        <v>14</v>
      </c>
      <c r="I332">
        <v>41</v>
      </c>
      <c r="J332">
        <f t="shared" si="17"/>
        <v>10792</v>
      </c>
    </row>
    <row r="333" spans="1:10" x14ac:dyDescent="0.2">
      <c r="A333">
        <v>3</v>
      </c>
      <c r="B333" s="15" t="s">
        <v>417</v>
      </c>
      <c r="C333" t="s">
        <v>399</v>
      </c>
      <c r="D333" t="s">
        <v>401</v>
      </c>
      <c r="E333" s="17" t="s">
        <v>386</v>
      </c>
      <c r="F333" s="17">
        <v>207844</v>
      </c>
      <c r="G333" s="17">
        <v>207831</v>
      </c>
      <c r="H333">
        <f t="shared" si="16"/>
        <v>13</v>
      </c>
      <c r="I333">
        <v>41</v>
      </c>
      <c r="J333">
        <f t="shared" si="17"/>
        <v>10616</v>
      </c>
    </row>
    <row r="334" spans="1:10" x14ac:dyDescent="0.2">
      <c r="A334">
        <v>3</v>
      </c>
      <c r="B334" s="15" t="s">
        <v>417</v>
      </c>
      <c r="C334" t="s">
        <v>399</v>
      </c>
      <c r="D334" t="s">
        <v>401</v>
      </c>
      <c r="E334" s="17" t="s">
        <v>387</v>
      </c>
      <c r="F334" s="17">
        <v>218643</v>
      </c>
      <c r="G334" s="17">
        <v>218629</v>
      </c>
      <c r="H334">
        <f t="shared" si="16"/>
        <v>14</v>
      </c>
      <c r="I334">
        <v>41</v>
      </c>
      <c r="J334">
        <f t="shared" si="17"/>
        <v>10799</v>
      </c>
    </row>
    <row r="335" spans="1:10" x14ac:dyDescent="0.2">
      <c r="A335">
        <v>3</v>
      </c>
      <c r="B335" s="15" t="s">
        <v>417</v>
      </c>
      <c r="C335" t="s">
        <v>399</v>
      </c>
      <c r="D335" t="s">
        <v>401</v>
      </c>
      <c r="E335" s="17" t="s">
        <v>388</v>
      </c>
      <c r="F335" s="17">
        <v>229290</v>
      </c>
      <c r="G335" s="17">
        <v>229275</v>
      </c>
      <c r="H335">
        <f t="shared" si="16"/>
        <v>15</v>
      </c>
      <c r="I335">
        <v>41</v>
      </c>
      <c r="J335">
        <f t="shared" si="17"/>
        <v>10647</v>
      </c>
    </row>
    <row r="336" spans="1:10" x14ac:dyDescent="0.2">
      <c r="A336">
        <v>3</v>
      </c>
      <c r="B336" s="15" t="s">
        <v>417</v>
      </c>
      <c r="C336" t="s">
        <v>399</v>
      </c>
      <c r="D336" t="s">
        <v>401</v>
      </c>
      <c r="E336" s="17" t="s">
        <v>389</v>
      </c>
      <c r="F336" s="17">
        <v>240088</v>
      </c>
      <c r="G336" s="17">
        <v>240073</v>
      </c>
      <c r="H336">
        <f t="shared" si="16"/>
        <v>15</v>
      </c>
      <c r="I336">
        <v>41</v>
      </c>
      <c r="J336">
        <f t="shared" si="17"/>
        <v>10798</v>
      </c>
    </row>
    <row r="337" spans="1:10" x14ac:dyDescent="0.2">
      <c r="A337">
        <v>3</v>
      </c>
      <c r="B337" s="15" t="s">
        <v>417</v>
      </c>
      <c r="C337" t="s">
        <v>399</v>
      </c>
      <c r="D337" t="s">
        <v>401</v>
      </c>
      <c r="E337" s="17" t="s">
        <v>390</v>
      </c>
      <c r="F337" s="17">
        <v>250734</v>
      </c>
      <c r="G337" s="17">
        <v>250718</v>
      </c>
      <c r="H337">
        <f t="shared" si="16"/>
        <v>16</v>
      </c>
      <c r="I337">
        <v>41</v>
      </c>
      <c r="J337">
        <f t="shared" si="17"/>
        <v>10646</v>
      </c>
    </row>
    <row r="338" spans="1:10" x14ac:dyDescent="0.2">
      <c r="A338">
        <v>3</v>
      </c>
      <c r="B338" s="15" t="s">
        <v>417</v>
      </c>
      <c r="C338" t="s">
        <v>399</v>
      </c>
      <c r="D338" t="s">
        <v>401</v>
      </c>
      <c r="E338" s="17" t="s">
        <v>391</v>
      </c>
      <c r="F338" s="17">
        <v>261545</v>
      </c>
      <c r="G338" s="17">
        <v>261530</v>
      </c>
      <c r="H338">
        <f t="shared" si="16"/>
        <v>15</v>
      </c>
      <c r="I338">
        <v>41</v>
      </c>
      <c r="J338">
        <f t="shared" si="17"/>
        <v>10811</v>
      </c>
    </row>
    <row r="339" spans="1:10" x14ac:dyDescent="0.2">
      <c r="A339">
        <v>3</v>
      </c>
      <c r="B339" s="15" t="s">
        <v>417</v>
      </c>
      <c r="C339" t="s">
        <v>399</v>
      </c>
      <c r="D339" t="s">
        <v>401</v>
      </c>
      <c r="E339" s="17" t="s">
        <v>392</v>
      </c>
      <c r="F339" s="17">
        <v>272155</v>
      </c>
      <c r="G339" s="17">
        <v>272139</v>
      </c>
      <c r="H339">
        <f t="shared" si="16"/>
        <v>16</v>
      </c>
      <c r="I339">
        <v>41</v>
      </c>
      <c r="J339">
        <f t="shared" si="17"/>
        <v>10610</v>
      </c>
    </row>
    <row r="340" spans="1:10" x14ac:dyDescent="0.2">
      <c r="A340">
        <v>3</v>
      </c>
      <c r="B340" s="15" t="s">
        <v>417</v>
      </c>
      <c r="C340" t="s">
        <v>399</v>
      </c>
      <c r="D340" t="s">
        <v>401</v>
      </c>
      <c r="E340" s="17" t="s">
        <v>393</v>
      </c>
      <c r="F340" s="17">
        <v>282795</v>
      </c>
      <c r="G340" s="17">
        <v>282780</v>
      </c>
      <c r="H340">
        <f t="shared" si="16"/>
        <v>15</v>
      </c>
      <c r="I340">
        <v>41</v>
      </c>
      <c r="J340">
        <f t="shared" si="17"/>
        <v>10640</v>
      </c>
    </row>
    <row r="341" spans="1:10" x14ac:dyDescent="0.2">
      <c r="A341">
        <v>3</v>
      </c>
      <c r="B341" s="15" t="s">
        <v>417</v>
      </c>
      <c r="C341" t="s">
        <v>399</v>
      </c>
      <c r="D341" t="s">
        <v>401</v>
      </c>
      <c r="E341" s="17" t="s">
        <v>394</v>
      </c>
      <c r="F341" s="17">
        <v>293620</v>
      </c>
      <c r="G341" s="17">
        <v>293603</v>
      </c>
      <c r="H341">
        <f t="shared" si="16"/>
        <v>17</v>
      </c>
      <c r="I341">
        <v>41</v>
      </c>
      <c r="J341">
        <f t="shared" si="17"/>
        <v>10825</v>
      </c>
    </row>
    <row r="342" spans="1:10" x14ac:dyDescent="0.2">
      <c r="A342">
        <v>3</v>
      </c>
      <c r="B342" s="15" t="s">
        <v>417</v>
      </c>
      <c r="C342" t="s">
        <v>399</v>
      </c>
      <c r="D342" t="s">
        <v>401</v>
      </c>
      <c r="E342" s="17" t="s">
        <v>395</v>
      </c>
      <c r="F342" s="17">
        <v>304229</v>
      </c>
      <c r="G342" s="17">
        <v>304214</v>
      </c>
      <c r="H342">
        <f t="shared" si="16"/>
        <v>15</v>
      </c>
      <c r="I342">
        <v>41</v>
      </c>
      <c r="J342">
        <f t="shared" si="17"/>
        <v>10609</v>
      </c>
    </row>
    <row r="343" spans="1:10" x14ac:dyDescent="0.2">
      <c r="A343">
        <v>3</v>
      </c>
      <c r="B343" s="15" t="s">
        <v>417</v>
      </c>
      <c r="C343" t="s">
        <v>399</v>
      </c>
      <c r="D343" t="s">
        <v>401</v>
      </c>
      <c r="E343" s="17" t="s">
        <v>396</v>
      </c>
      <c r="F343" s="17">
        <v>315030</v>
      </c>
      <c r="G343" s="17">
        <v>315017</v>
      </c>
      <c r="H343">
        <f t="shared" si="16"/>
        <v>13</v>
      </c>
      <c r="I343">
        <v>41</v>
      </c>
      <c r="J343">
        <f t="shared" si="17"/>
        <v>10801</v>
      </c>
    </row>
    <row r="344" spans="1:10" x14ac:dyDescent="0.2">
      <c r="A344">
        <v>3</v>
      </c>
      <c r="B344" s="15" t="s">
        <v>417</v>
      </c>
      <c r="C344" t="s">
        <v>399</v>
      </c>
      <c r="D344" t="s">
        <v>380</v>
      </c>
      <c r="E344" s="17" t="s">
        <v>362</v>
      </c>
      <c r="F344" s="17">
        <v>5731</v>
      </c>
      <c r="G344" s="17">
        <v>5742</v>
      </c>
      <c r="H344">
        <f t="shared" si="16"/>
        <v>-11</v>
      </c>
      <c r="I344">
        <v>41</v>
      </c>
    </row>
    <row r="345" spans="1:10" x14ac:dyDescent="0.2">
      <c r="A345">
        <v>3</v>
      </c>
      <c r="B345" s="15" t="s">
        <v>417</v>
      </c>
      <c r="C345" t="s">
        <v>399</v>
      </c>
      <c r="D345" t="s">
        <v>380</v>
      </c>
      <c r="E345" s="17" t="s">
        <v>363</v>
      </c>
      <c r="F345" s="17">
        <v>16520</v>
      </c>
      <c r="G345" s="17">
        <v>16531</v>
      </c>
      <c r="H345">
        <f t="shared" si="16"/>
        <v>-11</v>
      </c>
      <c r="I345">
        <v>41</v>
      </c>
      <c r="J345">
        <f t="shared" ref="J345:J373" si="18">F345-F344</f>
        <v>10789</v>
      </c>
    </row>
    <row r="346" spans="1:10" x14ac:dyDescent="0.2">
      <c r="A346">
        <v>3</v>
      </c>
      <c r="B346" s="15" t="s">
        <v>417</v>
      </c>
      <c r="C346" t="s">
        <v>399</v>
      </c>
      <c r="D346" t="s">
        <v>380</v>
      </c>
      <c r="E346" s="17" t="s">
        <v>364</v>
      </c>
      <c r="F346" s="17">
        <v>27131</v>
      </c>
      <c r="G346" s="17">
        <v>27147</v>
      </c>
      <c r="H346">
        <f t="shared" si="16"/>
        <v>-16</v>
      </c>
      <c r="I346">
        <v>41</v>
      </c>
      <c r="J346">
        <f t="shared" si="18"/>
        <v>10611</v>
      </c>
    </row>
    <row r="347" spans="1:10" x14ac:dyDescent="0.2">
      <c r="A347">
        <v>3</v>
      </c>
      <c r="B347" s="15" t="s">
        <v>417</v>
      </c>
      <c r="C347" t="s">
        <v>399</v>
      </c>
      <c r="D347" t="s">
        <v>380</v>
      </c>
      <c r="E347" s="17" t="s">
        <v>365</v>
      </c>
      <c r="F347" s="17">
        <v>37729</v>
      </c>
      <c r="G347" s="17">
        <v>37742</v>
      </c>
      <c r="H347">
        <f t="shared" ref="H347:H373" si="19">F347-G347</f>
        <v>-13</v>
      </c>
      <c r="I347">
        <v>41</v>
      </c>
      <c r="J347">
        <f t="shared" si="18"/>
        <v>10598</v>
      </c>
    </row>
    <row r="348" spans="1:10" x14ac:dyDescent="0.2">
      <c r="A348">
        <v>3</v>
      </c>
      <c r="B348" s="15" t="s">
        <v>417</v>
      </c>
      <c r="C348" t="s">
        <v>399</v>
      </c>
      <c r="D348" t="s">
        <v>380</v>
      </c>
      <c r="E348" s="17" t="s">
        <v>366</v>
      </c>
      <c r="F348" s="17">
        <v>48529</v>
      </c>
      <c r="G348" s="17">
        <v>48542</v>
      </c>
      <c r="H348">
        <f t="shared" si="19"/>
        <v>-13</v>
      </c>
      <c r="I348">
        <v>41</v>
      </c>
      <c r="J348">
        <f t="shared" si="18"/>
        <v>10800</v>
      </c>
    </row>
    <row r="349" spans="1:10" x14ac:dyDescent="0.2">
      <c r="A349">
        <v>3</v>
      </c>
      <c r="B349" s="15" t="s">
        <v>417</v>
      </c>
      <c r="C349" t="s">
        <v>399</v>
      </c>
      <c r="D349" t="s">
        <v>380</v>
      </c>
      <c r="E349" s="17" t="s">
        <v>367</v>
      </c>
      <c r="F349" s="17">
        <v>59323</v>
      </c>
      <c r="G349" s="17">
        <v>59337</v>
      </c>
      <c r="H349">
        <f t="shared" si="19"/>
        <v>-14</v>
      </c>
      <c r="I349">
        <v>41</v>
      </c>
      <c r="J349">
        <f t="shared" si="18"/>
        <v>10794</v>
      </c>
    </row>
    <row r="350" spans="1:10" x14ac:dyDescent="0.2">
      <c r="A350">
        <v>3</v>
      </c>
      <c r="B350" s="15" t="s">
        <v>417</v>
      </c>
      <c r="C350" t="s">
        <v>399</v>
      </c>
      <c r="D350" t="s">
        <v>380</v>
      </c>
      <c r="E350" s="17" t="s">
        <v>368</v>
      </c>
      <c r="F350" s="17">
        <v>69930</v>
      </c>
      <c r="G350" s="17">
        <v>69942</v>
      </c>
      <c r="H350">
        <f t="shared" si="19"/>
        <v>-12</v>
      </c>
      <c r="I350">
        <v>41</v>
      </c>
      <c r="J350">
        <f t="shared" si="18"/>
        <v>10607</v>
      </c>
    </row>
    <row r="351" spans="1:10" x14ac:dyDescent="0.2">
      <c r="A351">
        <v>3</v>
      </c>
      <c r="B351" s="15" t="s">
        <v>417</v>
      </c>
      <c r="C351" t="s">
        <v>399</v>
      </c>
      <c r="D351" t="s">
        <v>380</v>
      </c>
      <c r="E351" s="17" t="s">
        <v>369</v>
      </c>
      <c r="F351" s="17">
        <v>80691</v>
      </c>
      <c r="G351" s="17">
        <v>80708</v>
      </c>
      <c r="H351">
        <f t="shared" si="19"/>
        <v>-17</v>
      </c>
      <c r="I351">
        <v>41</v>
      </c>
      <c r="J351">
        <f t="shared" si="18"/>
        <v>10761</v>
      </c>
    </row>
    <row r="352" spans="1:10" x14ac:dyDescent="0.2">
      <c r="A352">
        <v>3</v>
      </c>
      <c r="B352" s="15" t="s">
        <v>417</v>
      </c>
      <c r="C352" t="s">
        <v>399</v>
      </c>
      <c r="D352" t="s">
        <v>380</v>
      </c>
      <c r="E352" s="17" t="s">
        <v>370</v>
      </c>
      <c r="F352" s="17">
        <v>91242</v>
      </c>
      <c r="G352" s="17">
        <v>91253</v>
      </c>
      <c r="H352">
        <f t="shared" si="19"/>
        <v>-11</v>
      </c>
      <c r="I352">
        <v>41</v>
      </c>
      <c r="J352">
        <f t="shared" si="18"/>
        <v>10551</v>
      </c>
    </row>
    <row r="353" spans="1:10" x14ac:dyDescent="0.2">
      <c r="A353">
        <v>3</v>
      </c>
      <c r="B353" s="15" t="s">
        <v>417</v>
      </c>
      <c r="C353" t="s">
        <v>399</v>
      </c>
      <c r="D353" t="s">
        <v>380</v>
      </c>
      <c r="E353" s="17" t="s">
        <v>371</v>
      </c>
      <c r="F353" s="17">
        <v>102006</v>
      </c>
      <c r="G353" s="17">
        <v>102015</v>
      </c>
      <c r="H353">
        <f t="shared" si="19"/>
        <v>-9</v>
      </c>
      <c r="I353">
        <v>41</v>
      </c>
      <c r="J353">
        <f t="shared" si="18"/>
        <v>10764</v>
      </c>
    </row>
    <row r="354" spans="1:10" x14ac:dyDescent="0.2">
      <c r="A354">
        <v>3</v>
      </c>
      <c r="B354" s="15" t="s">
        <v>417</v>
      </c>
      <c r="C354" t="s">
        <v>399</v>
      </c>
      <c r="D354" t="s">
        <v>380</v>
      </c>
      <c r="E354" s="17" t="s">
        <v>372</v>
      </c>
      <c r="F354" s="17">
        <v>112751</v>
      </c>
      <c r="G354" s="17">
        <v>112764</v>
      </c>
      <c r="H354">
        <f t="shared" si="19"/>
        <v>-13</v>
      </c>
      <c r="I354">
        <v>41</v>
      </c>
      <c r="J354">
        <f t="shared" si="18"/>
        <v>10745</v>
      </c>
    </row>
    <row r="355" spans="1:10" x14ac:dyDescent="0.2">
      <c r="A355">
        <v>3</v>
      </c>
      <c r="B355" s="15" t="s">
        <v>417</v>
      </c>
      <c r="C355" t="s">
        <v>399</v>
      </c>
      <c r="D355" t="s">
        <v>380</v>
      </c>
      <c r="E355" s="17" t="s">
        <v>373</v>
      </c>
      <c r="F355" s="17">
        <v>123421</v>
      </c>
      <c r="G355" s="17">
        <v>123435</v>
      </c>
      <c r="H355">
        <f t="shared" si="19"/>
        <v>-14</v>
      </c>
      <c r="I355">
        <v>41</v>
      </c>
      <c r="J355">
        <f t="shared" si="18"/>
        <v>10670</v>
      </c>
    </row>
    <row r="356" spans="1:10" x14ac:dyDescent="0.2">
      <c r="A356">
        <v>3</v>
      </c>
      <c r="B356" s="15" t="s">
        <v>417</v>
      </c>
      <c r="C356" t="s">
        <v>399</v>
      </c>
      <c r="D356" t="s">
        <v>380</v>
      </c>
      <c r="E356" s="17" t="s">
        <v>374</v>
      </c>
      <c r="F356" s="17">
        <v>134249</v>
      </c>
      <c r="G356" s="17">
        <v>134263</v>
      </c>
      <c r="H356">
        <f t="shared" si="19"/>
        <v>-14</v>
      </c>
      <c r="I356">
        <v>41</v>
      </c>
      <c r="J356">
        <f t="shared" si="18"/>
        <v>10828</v>
      </c>
    </row>
    <row r="357" spans="1:10" x14ac:dyDescent="0.2">
      <c r="A357">
        <v>3</v>
      </c>
      <c r="B357" s="15" t="s">
        <v>417</v>
      </c>
      <c r="C357" t="s">
        <v>399</v>
      </c>
      <c r="D357" t="s">
        <v>380</v>
      </c>
      <c r="E357" s="17" t="s">
        <v>375</v>
      </c>
      <c r="F357" s="17">
        <v>144893</v>
      </c>
      <c r="G357" s="17">
        <v>144907</v>
      </c>
      <c r="H357">
        <f t="shared" si="19"/>
        <v>-14</v>
      </c>
      <c r="I357">
        <v>41</v>
      </c>
      <c r="J357">
        <f t="shared" si="18"/>
        <v>10644</v>
      </c>
    </row>
    <row r="358" spans="1:10" x14ac:dyDescent="0.2">
      <c r="A358">
        <v>3</v>
      </c>
      <c r="B358" s="15" t="s">
        <v>417</v>
      </c>
      <c r="C358" t="s">
        <v>399</v>
      </c>
      <c r="D358" t="s">
        <v>380</v>
      </c>
      <c r="E358" s="17" t="s">
        <v>376</v>
      </c>
      <c r="F358" s="17">
        <v>155684</v>
      </c>
      <c r="G358" s="17">
        <v>155699</v>
      </c>
      <c r="H358">
        <f t="shared" si="19"/>
        <v>-15</v>
      </c>
      <c r="I358">
        <v>41</v>
      </c>
      <c r="J358">
        <f t="shared" si="18"/>
        <v>10791</v>
      </c>
    </row>
    <row r="359" spans="1:10" x14ac:dyDescent="0.2">
      <c r="A359">
        <v>3</v>
      </c>
      <c r="B359" s="15" t="s">
        <v>417</v>
      </c>
      <c r="C359" t="s">
        <v>399</v>
      </c>
      <c r="D359" t="s">
        <v>380</v>
      </c>
      <c r="E359" s="17" t="s">
        <v>377</v>
      </c>
      <c r="F359" s="17">
        <v>166306</v>
      </c>
      <c r="G359" s="17">
        <v>166317</v>
      </c>
      <c r="H359">
        <f t="shared" si="19"/>
        <v>-11</v>
      </c>
      <c r="I359">
        <v>41</v>
      </c>
      <c r="J359">
        <f t="shared" si="18"/>
        <v>10622</v>
      </c>
    </row>
    <row r="360" spans="1:10" x14ac:dyDescent="0.2">
      <c r="A360">
        <v>3</v>
      </c>
      <c r="B360" s="15" t="s">
        <v>417</v>
      </c>
      <c r="C360" t="s">
        <v>399</v>
      </c>
      <c r="D360" t="s">
        <v>380</v>
      </c>
      <c r="E360" s="17" t="s">
        <v>378</v>
      </c>
      <c r="F360" s="17">
        <v>177089</v>
      </c>
      <c r="G360" s="17">
        <v>177102</v>
      </c>
      <c r="H360">
        <f t="shared" si="19"/>
        <v>-13</v>
      </c>
      <c r="I360">
        <v>41</v>
      </c>
      <c r="J360">
        <f t="shared" si="18"/>
        <v>10783</v>
      </c>
    </row>
    <row r="361" spans="1:10" x14ac:dyDescent="0.2">
      <c r="A361">
        <v>3</v>
      </c>
      <c r="B361" s="15" t="s">
        <v>417</v>
      </c>
      <c r="C361" t="s">
        <v>399</v>
      </c>
      <c r="D361" t="s">
        <v>380</v>
      </c>
      <c r="E361" s="17" t="s">
        <v>384</v>
      </c>
      <c r="F361" s="17">
        <v>187680</v>
      </c>
      <c r="G361" s="17">
        <v>187691</v>
      </c>
      <c r="H361">
        <f t="shared" si="19"/>
        <v>-11</v>
      </c>
      <c r="I361">
        <v>41</v>
      </c>
      <c r="J361">
        <f t="shared" si="18"/>
        <v>10591</v>
      </c>
    </row>
    <row r="362" spans="1:10" x14ac:dyDescent="0.2">
      <c r="A362">
        <v>3</v>
      </c>
      <c r="B362" s="15" t="s">
        <v>417</v>
      </c>
      <c r="C362" t="s">
        <v>399</v>
      </c>
      <c r="D362" t="s">
        <v>380</v>
      </c>
      <c r="E362" s="17" t="s">
        <v>385</v>
      </c>
      <c r="F362" s="17">
        <v>198478</v>
      </c>
      <c r="G362" s="17">
        <v>198485</v>
      </c>
      <c r="H362">
        <f t="shared" si="19"/>
        <v>-7</v>
      </c>
      <c r="I362">
        <v>41</v>
      </c>
      <c r="J362">
        <f t="shared" si="18"/>
        <v>10798</v>
      </c>
    </row>
    <row r="363" spans="1:10" x14ac:dyDescent="0.2">
      <c r="A363">
        <v>3</v>
      </c>
      <c r="B363" s="15" t="s">
        <v>417</v>
      </c>
      <c r="C363" t="s">
        <v>399</v>
      </c>
      <c r="D363" t="s">
        <v>380</v>
      </c>
      <c r="E363" s="17" t="s">
        <v>386</v>
      </c>
      <c r="F363" s="17">
        <v>209094</v>
      </c>
      <c r="G363" s="17">
        <v>209105</v>
      </c>
      <c r="H363">
        <f t="shared" si="19"/>
        <v>-11</v>
      </c>
      <c r="I363">
        <v>41</v>
      </c>
      <c r="J363">
        <f t="shared" si="18"/>
        <v>10616</v>
      </c>
    </row>
    <row r="364" spans="1:10" x14ac:dyDescent="0.2">
      <c r="A364">
        <v>3</v>
      </c>
      <c r="B364" s="15" t="s">
        <v>417</v>
      </c>
      <c r="C364" t="s">
        <v>399</v>
      </c>
      <c r="D364" t="s">
        <v>380</v>
      </c>
      <c r="E364" s="17" t="s">
        <v>387</v>
      </c>
      <c r="F364" s="17">
        <v>219892</v>
      </c>
      <c r="G364" s="17">
        <v>219902</v>
      </c>
      <c r="H364">
        <f t="shared" si="19"/>
        <v>-10</v>
      </c>
      <c r="I364">
        <v>41</v>
      </c>
      <c r="J364">
        <f t="shared" si="18"/>
        <v>10798</v>
      </c>
    </row>
    <row r="365" spans="1:10" x14ac:dyDescent="0.2">
      <c r="A365">
        <v>3</v>
      </c>
      <c r="B365" s="15" t="s">
        <v>417</v>
      </c>
      <c r="C365" t="s">
        <v>399</v>
      </c>
      <c r="D365" t="s">
        <v>380</v>
      </c>
      <c r="E365" s="17" t="s">
        <v>388</v>
      </c>
      <c r="F365" s="17">
        <v>230541</v>
      </c>
      <c r="G365" s="17">
        <v>230553</v>
      </c>
      <c r="H365">
        <f t="shared" si="19"/>
        <v>-12</v>
      </c>
      <c r="I365">
        <v>41</v>
      </c>
      <c r="J365">
        <f t="shared" si="18"/>
        <v>10649</v>
      </c>
    </row>
    <row r="366" spans="1:10" x14ac:dyDescent="0.2">
      <c r="A366">
        <v>3</v>
      </c>
      <c r="B366" s="15" t="s">
        <v>417</v>
      </c>
      <c r="C366" t="s">
        <v>399</v>
      </c>
      <c r="D366" t="s">
        <v>380</v>
      </c>
      <c r="E366" s="17" t="s">
        <v>389</v>
      </c>
      <c r="F366" s="17">
        <v>241331</v>
      </c>
      <c r="G366" s="17">
        <v>241345</v>
      </c>
      <c r="H366">
        <f t="shared" si="19"/>
        <v>-14</v>
      </c>
      <c r="I366">
        <v>41</v>
      </c>
      <c r="J366">
        <f t="shared" si="18"/>
        <v>10790</v>
      </c>
    </row>
    <row r="367" spans="1:10" x14ac:dyDescent="0.2">
      <c r="A367">
        <v>3</v>
      </c>
      <c r="B367" s="15" t="s">
        <v>417</v>
      </c>
      <c r="C367" t="s">
        <v>399</v>
      </c>
      <c r="D367" t="s">
        <v>380</v>
      </c>
      <c r="E367" s="17" t="s">
        <v>390</v>
      </c>
      <c r="F367" s="17">
        <v>251981</v>
      </c>
      <c r="G367" s="17">
        <v>251994</v>
      </c>
      <c r="H367">
        <f t="shared" si="19"/>
        <v>-13</v>
      </c>
      <c r="I367">
        <v>41</v>
      </c>
      <c r="J367">
        <f t="shared" si="18"/>
        <v>10650</v>
      </c>
    </row>
    <row r="368" spans="1:10" x14ac:dyDescent="0.2">
      <c r="A368">
        <v>3</v>
      </c>
      <c r="B368" s="15" t="s">
        <v>417</v>
      </c>
      <c r="C368" t="s">
        <v>399</v>
      </c>
      <c r="D368" t="s">
        <v>380</v>
      </c>
      <c r="E368" s="17" t="s">
        <v>391</v>
      </c>
      <c r="F368" s="17">
        <v>262790</v>
      </c>
      <c r="G368" s="17">
        <v>262805</v>
      </c>
      <c r="H368">
        <f t="shared" si="19"/>
        <v>-15</v>
      </c>
      <c r="I368">
        <v>41</v>
      </c>
      <c r="J368">
        <f t="shared" si="18"/>
        <v>10809</v>
      </c>
    </row>
    <row r="369" spans="1:10" x14ac:dyDescent="0.2">
      <c r="A369">
        <v>3</v>
      </c>
      <c r="B369" s="15" t="s">
        <v>417</v>
      </c>
      <c r="C369" t="s">
        <v>399</v>
      </c>
      <c r="D369" t="s">
        <v>380</v>
      </c>
      <c r="E369" s="17" t="s">
        <v>392</v>
      </c>
      <c r="F369" s="17">
        <v>273402</v>
      </c>
      <c r="G369" s="17">
        <v>273416</v>
      </c>
      <c r="H369">
        <f t="shared" si="19"/>
        <v>-14</v>
      </c>
      <c r="I369">
        <v>41</v>
      </c>
      <c r="J369">
        <f t="shared" si="18"/>
        <v>10612</v>
      </c>
    </row>
    <row r="370" spans="1:10" x14ac:dyDescent="0.2">
      <c r="A370">
        <v>3</v>
      </c>
      <c r="B370" s="15" t="s">
        <v>417</v>
      </c>
      <c r="C370" t="s">
        <v>399</v>
      </c>
      <c r="D370" t="s">
        <v>380</v>
      </c>
      <c r="E370" s="17" t="s">
        <v>393</v>
      </c>
      <c r="F370" s="17">
        <v>284041</v>
      </c>
      <c r="G370" s="17">
        <v>284051</v>
      </c>
      <c r="H370">
        <f t="shared" si="19"/>
        <v>-10</v>
      </c>
      <c r="I370">
        <v>41</v>
      </c>
      <c r="J370">
        <f t="shared" si="18"/>
        <v>10639</v>
      </c>
    </row>
    <row r="371" spans="1:10" x14ac:dyDescent="0.2">
      <c r="A371">
        <v>3</v>
      </c>
      <c r="B371" s="15" t="s">
        <v>417</v>
      </c>
      <c r="C371" t="s">
        <v>399</v>
      </c>
      <c r="D371" t="s">
        <v>380</v>
      </c>
      <c r="E371" s="17" t="s">
        <v>394</v>
      </c>
      <c r="F371" s="17">
        <v>294866</v>
      </c>
      <c r="G371" s="17">
        <v>294882</v>
      </c>
      <c r="H371">
        <f t="shared" si="19"/>
        <v>-16</v>
      </c>
      <c r="I371">
        <v>41</v>
      </c>
      <c r="J371">
        <f t="shared" si="18"/>
        <v>10825</v>
      </c>
    </row>
    <row r="372" spans="1:10" x14ac:dyDescent="0.2">
      <c r="A372">
        <v>3</v>
      </c>
      <c r="B372" s="15" t="s">
        <v>417</v>
      </c>
      <c r="C372" t="s">
        <v>399</v>
      </c>
      <c r="D372" t="s">
        <v>380</v>
      </c>
      <c r="E372" s="17" t="s">
        <v>395</v>
      </c>
      <c r="F372" s="17">
        <v>305482</v>
      </c>
      <c r="G372" s="17">
        <v>305491</v>
      </c>
      <c r="H372">
        <f t="shared" si="19"/>
        <v>-9</v>
      </c>
      <c r="I372">
        <v>41</v>
      </c>
      <c r="J372">
        <f t="shared" si="18"/>
        <v>10616</v>
      </c>
    </row>
    <row r="373" spans="1:10" x14ac:dyDescent="0.2">
      <c r="A373">
        <v>3</v>
      </c>
      <c r="B373" s="15" t="s">
        <v>417</v>
      </c>
      <c r="C373" t="s">
        <v>399</v>
      </c>
      <c r="D373" t="s">
        <v>380</v>
      </c>
      <c r="E373" s="17" t="s">
        <v>396</v>
      </c>
      <c r="F373" s="17">
        <v>316278</v>
      </c>
      <c r="G373" s="17">
        <v>316287</v>
      </c>
      <c r="H373">
        <f t="shared" si="19"/>
        <v>-9</v>
      </c>
      <c r="I373">
        <v>41</v>
      </c>
      <c r="J373">
        <f t="shared" si="18"/>
        <v>10796</v>
      </c>
    </row>
    <row r="374" spans="1:10" x14ac:dyDescent="0.2">
      <c r="A374">
        <v>4</v>
      </c>
      <c r="B374" s="15" t="s">
        <v>412</v>
      </c>
      <c r="C374" t="s">
        <v>399</v>
      </c>
      <c r="D374" t="s">
        <v>401</v>
      </c>
      <c r="E374" s="17" t="s">
        <v>362</v>
      </c>
      <c r="F374" s="17">
        <v>3375</v>
      </c>
      <c r="G374" s="17">
        <v>3329</v>
      </c>
      <c r="H374">
        <f>F374-G374</f>
        <v>46</v>
      </c>
      <c r="I374">
        <v>101</v>
      </c>
    </row>
    <row r="375" spans="1:10" x14ac:dyDescent="0.2">
      <c r="A375">
        <v>4</v>
      </c>
      <c r="B375" s="15" t="s">
        <v>412</v>
      </c>
      <c r="C375" t="s">
        <v>399</v>
      </c>
      <c r="D375" t="s">
        <v>401</v>
      </c>
      <c r="E375" s="17" t="s">
        <v>363</v>
      </c>
      <c r="F375" s="17">
        <v>11787</v>
      </c>
      <c r="G375" s="17">
        <v>11739</v>
      </c>
      <c r="H375">
        <f t="shared" ref="H375:H433" si="20">F375-G375</f>
        <v>48</v>
      </c>
      <c r="I375">
        <v>101</v>
      </c>
      <c r="J375">
        <f>F375-F374</f>
        <v>8412</v>
      </c>
    </row>
    <row r="376" spans="1:10" x14ac:dyDescent="0.2">
      <c r="A376">
        <v>4</v>
      </c>
      <c r="B376" s="15" t="s">
        <v>412</v>
      </c>
      <c r="C376" t="s">
        <v>399</v>
      </c>
      <c r="D376" t="s">
        <v>401</v>
      </c>
      <c r="E376" s="17" t="s">
        <v>364</v>
      </c>
      <c r="F376" s="17">
        <v>20446</v>
      </c>
      <c r="G376" s="17">
        <v>20404</v>
      </c>
      <c r="H376">
        <f t="shared" si="20"/>
        <v>42</v>
      </c>
      <c r="I376">
        <v>101</v>
      </c>
      <c r="J376">
        <f t="shared" ref="J376:J403" si="21">F376-F375</f>
        <v>8659</v>
      </c>
    </row>
    <row r="377" spans="1:10" x14ac:dyDescent="0.2">
      <c r="A377">
        <v>4</v>
      </c>
      <c r="B377" s="15" t="s">
        <v>412</v>
      </c>
      <c r="C377" t="s">
        <v>399</v>
      </c>
      <c r="D377" t="s">
        <v>401</v>
      </c>
      <c r="E377" s="17" t="s">
        <v>365</v>
      </c>
      <c r="F377" s="17">
        <v>29277</v>
      </c>
      <c r="G377" s="17">
        <v>29237</v>
      </c>
      <c r="H377">
        <f t="shared" si="20"/>
        <v>40</v>
      </c>
      <c r="I377">
        <v>101</v>
      </c>
      <c r="J377">
        <f t="shared" si="21"/>
        <v>8831</v>
      </c>
    </row>
    <row r="378" spans="1:10" x14ac:dyDescent="0.2">
      <c r="A378">
        <v>4</v>
      </c>
      <c r="B378" s="15" t="s">
        <v>412</v>
      </c>
      <c r="C378" t="s">
        <v>399</v>
      </c>
      <c r="D378" t="s">
        <v>401</v>
      </c>
      <c r="E378" s="17" t="s">
        <v>366</v>
      </c>
      <c r="F378" s="17">
        <v>37882</v>
      </c>
      <c r="G378" s="17">
        <v>37844</v>
      </c>
      <c r="H378">
        <f t="shared" si="20"/>
        <v>38</v>
      </c>
      <c r="I378">
        <v>101</v>
      </c>
      <c r="J378">
        <f t="shared" si="21"/>
        <v>8605</v>
      </c>
    </row>
    <row r="379" spans="1:10" x14ac:dyDescent="0.2">
      <c r="A379">
        <v>4</v>
      </c>
      <c r="B379" s="15" t="s">
        <v>412</v>
      </c>
      <c r="C379" t="s">
        <v>399</v>
      </c>
      <c r="D379" t="s">
        <v>401</v>
      </c>
      <c r="E379" s="17" t="s">
        <v>367</v>
      </c>
      <c r="F379" s="17">
        <v>46635</v>
      </c>
      <c r="G379" s="17">
        <v>46590</v>
      </c>
      <c r="H379">
        <f t="shared" si="20"/>
        <v>45</v>
      </c>
      <c r="I379">
        <v>101</v>
      </c>
      <c r="J379">
        <f t="shared" si="21"/>
        <v>8753</v>
      </c>
    </row>
    <row r="380" spans="1:10" x14ac:dyDescent="0.2">
      <c r="A380">
        <v>4</v>
      </c>
      <c r="B380" s="15" t="s">
        <v>412</v>
      </c>
      <c r="C380" t="s">
        <v>399</v>
      </c>
      <c r="D380" t="s">
        <v>401</v>
      </c>
      <c r="E380" s="17" t="s">
        <v>368</v>
      </c>
      <c r="F380" s="17">
        <v>55167</v>
      </c>
      <c r="G380" s="17">
        <v>55126</v>
      </c>
      <c r="H380">
        <f t="shared" si="20"/>
        <v>41</v>
      </c>
      <c r="I380">
        <v>101</v>
      </c>
      <c r="J380">
        <f t="shared" si="21"/>
        <v>8532</v>
      </c>
    </row>
    <row r="381" spans="1:10" x14ac:dyDescent="0.2">
      <c r="A381">
        <v>4</v>
      </c>
      <c r="B381" s="15" t="s">
        <v>412</v>
      </c>
      <c r="C381" t="s">
        <v>399</v>
      </c>
      <c r="D381" t="s">
        <v>401</v>
      </c>
      <c r="E381" s="17" t="s">
        <v>369</v>
      </c>
      <c r="F381" s="17">
        <v>63874</v>
      </c>
      <c r="G381" s="17">
        <v>63833</v>
      </c>
      <c r="H381">
        <f t="shared" si="20"/>
        <v>41</v>
      </c>
      <c r="I381">
        <v>101</v>
      </c>
      <c r="J381">
        <f t="shared" si="21"/>
        <v>8707</v>
      </c>
    </row>
    <row r="382" spans="1:10" x14ac:dyDescent="0.2">
      <c r="A382">
        <v>4</v>
      </c>
      <c r="B382" s="15" t="s">
        <v>412</v>
      </c>
      <c r="C382" t="s">
        <v>399</v>
      </c>
      <c r="D382" t="s">
        <v>401</v>
      </c>
      <c r="E382" s="17" t="s">
        <v>370</v>
      </c>
      <c r="F382" s="17">
        <v>72388</v>
      </c>
      <c r="G382" s="17">
        <v>72344</v>
      </c>
      <c r="H382">
        <f t="shared" si="20"/>
        <v>44</v>
      </c>
      <c r="I382">
        <v>101</v>
      </c>
      <c r="J382">
        <f t="shared" si="21"/>
        <v>8514</v>
      </c>
    </row>
    <row r="383" spans="1:10" x14ac:dyDescent="0.2">
      <c r="A383">
        <v>4</v>
      </c>
      <c r="B383" s="15" t="s">
        <v>412</v>
      </c>
      <c r="C383" t="s">
        <v>399</v>
      </c>
      <c r="D383" t="s">
        <v>401</v>
      </c>
      <c r="E383" s="17" t="s">
        <v>371</v>
      </c>
      <c r="F383" s="17">
        <v>81008</v>
      </c>
      <c r="G383" s="17">
        <v>80969</v>
      </c>
      <c r="H383">
        <f t="shared" si="20"/>
        <v>39</v>
      </c>
      <c r="I383">
        <v>101</v>
      </c>
      <c r="J383">
        <f t="shared" si="21"/>
        <v>8620</v>
      </c>
    </row>
    <row r="384" spans="1:10" x14ac:dyDescent="0.2">
      <c r="A384">
        <v>4</v>
      </c>
      <c r="B384" s="15" t="s">
        <v>412</v>
      </c>
      <c r="C384" t="s">
        <v>399</v>
      </c>
      <c r="D384" t="s">
        <v>401</v>
      </c>
      <c r="E384" s="17" t="s">
        <v>372</v>
      </c>
      <c r="F384" s="17">
        <v>89822</v>
      </c>
      <c r="G384" s="17">
        <v>89783</v>
      </c>
      <c r="H384">
        <f t="shared" si="20"/>
        <v>39</v>
      </c>
      <c r="I384">
        <v>101</v>
      </c>
      <c r="J384">
        <f t="shared" si="21"/>
        <v>8814</v>
      </c>
    </row>
    <row r="385" spans="1:10" x14ac:dyDescent="0.2">
      <c r="A385">
        <v>4</v>
      </c>
      <c r="B385" s="15" t="s">
        <v>412</v>
      </c>
      <c r="C385" t="s">
        <v>399</v>
      </c>
      <c r="D385" t="s">
        <v>401</v>
      </c>
      <c r="E385" s="17" t="s">
        <v>373</v>
      </c>
      <c r="F385" s="17">
        <v>98411</v>
      </c>
      <c r="G385" s="17">
        <v>98370</v>
      </c>
      <c r="H385">
        <f t="shared" si="20"/>
        <v>41</v>
      </c>
      <c r="I385">
        <v>101</v>
      </c>
      <c r="J385">
        <f t="shared" si="21"/>
        <v>8589</v>
      </c>
    </row>
    <row r="386" spans="1:10" x14ac:dyDescent="0.2">
      <c r="A386">
        <v>4</v>
      </c>
      <c r="B386" s="15" t="s">
        <v>412</v>
      </c>
      <c r="C386" t="s">
        <v>399</v>
      </c>
      <c r="D386" t="s">
        <v>401</v>
      </c>
      <c r="E386" s="17" t="s">
        <v>374</v>
      </c>
      <c r="F386" s="17">
        <v>107152</v>
      </c>
      <c r="G386" s="17">
        <v>107106</v>
      </c>
      <c r="H386">
        <f t="shared" si="20"/>
        <v>46</v>
      </c>
      <c r="I386">
        <v>101</v>
      </c>
      <c r="J386">
        <f t="shared" si="21"/>
        <v>8741</v>
      </c>
    </row>
    <row r="387" spans="1:10" x14ac:dyDescent="0.2">
      <c r="A387">
        <v>4</v>
      </c>
      <c r="B387" s="15" t="s">
        <v>412</v>
      </c>
      <c r="C387" t="s">
        <v>399</v>
      </c>
      <c r="D387" t="s">
        <v>401</v>
      </c>
      <c r="E387" s="17" t="s">
        <v>375</v>
      </c>
      <c r="F387" s="17">
        <v>115673</v>
      </c>
      <c r="G387" s="17">
        <v>115634</v>
      </c>
      <c r="H387">
        <f t="shared" si="20"/>
        <v>39</v>
      </c>
      <c r="I387">
        <v>101</v>
      </c>
      <c r="J387">
        <f t="shared" si="21"/>
        <v>8521</v>
      </c>
    </row>
    <row r="388" spans="1:10" x14ac:dyDescent="0.2">
      <c r="A388">
        <v>4</v>
      </c>
      <c r="B388" s="15" t="s">
        <v>412</v>
      </c>
      <c r="C388" t="s">
        <v>399</v>
      </c>
      <c r="D388" t="s">
        <v>401</v>
      </c>
      <c r="E388" s="17" t="s">
        <v>376</v>
      </c>
      <c r="F388" s="17">
        <v>124366</v>
      </c>
      <c r="G388" s="17">
        <v>124327</v>
      </c>
      <c r="H388">
        <f t="shared" si="20"/>
        <v>39</v>
      </c>
      <c r="I388">
        <v>101</v>
      </c>
      <c r="J388">
        <f t="shared" si="21"/>
        <v>8693</v>
      </c>
    </row>
    <row r="389" spans="1:10" x14ac:dyDescent="0.2">
      <c r="A389">
        <v>4</v>
      </c>
      <c r="B389" s="15" t="s">
        <v>412</v>
      </c>
      <c r="C389" t="s">
        <v>399</v>
      </c>
      <c r="D389" t="s">
        <v>401</v>
      </c>
      <c r="E389" s="17" t="s">
        <v>377</v>
      </c>
      <c r="F389" s="17">
        <v>133265</v>
      </c>
      <c r="G389" s="17">
        <v>133225</v>
      </c>
      <c r="H389">
        <f t="shared" si="20"/>
        <v>40</v>
      </c>
      <c r="I389">
        <v>101</v>
      </c>
      <c r="J389">
        <f t="shared" si="21"/>
        <v>8899</v>
      </c>
    </row>
    <row r="390" spans="1:10" x14ac:dyDescent="0.2">
      <c r="A390">
        <v>4</v>
      </c>
      <c r="B390" s="15" t="s">
        <v>412</v>
      </c>
      <c r="C390" t="s">
        <v>399</v>
      </c>
      <c r="D390" t="s">
        <v>401</v>
      </c>
      <c r="E390" s="17" t="s">
        <v>378</v>
      </c>
      <c r="F390" s="17">
        <v>141834</v>
      </c>
      <c r="G390" s="17">
        <v>141799</v>
      </c>
      <c r="H390">
        <f t="shared" si="20"/>
        <v>35</v>
      </c>
      <c r="I390">
        <v>101</v>
      </c>
      <c r="J390">
        <f t="shared" si="21"/>
        <v>8569</v>
      </c>
    </row>
    <row r="391" spans="1:10" x14ac:dyDescent="0.2">
      <c r="A391">
        <v>4</v>
      </c>
      <c r="B391" s="15" t="s">
        <v>412</v>
      </c>
      <c r="C391" t="s">
        <v>399</v>
      </c>
      <c r="D391" t="s">
        <v>401</v>
      </c>
      <c r="E391" s="17" t="s">
        <v>384</v>
      </c>
      <c r="F391" s="17">
        <v>150571</v>
      </c>
      <c r="G391" s="17">
        <v>150528</v>
      </c>
      <c r="H391">
        <f t="shared" si="20"/>
        <v>43</v>
      </c>
      <c r="I391">
        <v>101</v>
      </c>
      <c r="J391">
        <f t="shared" si="21"/>
        <v>8737</v>
      </c>
    </row>
    <row r="392" spans="1:10" x14ac:dyDescent="0.2">
      <c r="A392">
        <v>4</v>
      </c>
      <c r="B392" s="15" t="s">
        <v>412</v>
      </c>
      <c r="C392" t="s">
        <v>399</v>
      </c>
      <c r="D392" t="s">
        <v>401</v>
      </c>
      <c r="E392" s="17" t="s">
        <v>385</v>
      </c>
      <c r="F392" s="17">
        <v>159062</v>
      </c>
      <c r="G392" s="17">
        <v>159021</v>
      </c>
      <c r="H392">
        <f t="shared" si="20"/>
        <v>41</v>
      </c>
      <c r="I392">
        <v>101</v>
      </c>
      <c r="J392">
        <f t="shared" si="21"/>
        <v>8491</v>
      </c>
    </row>
    <row r="393" spans="1:10" x14ac:dyDescent="0.2">
      <c r="A393">
        <v>4</v>
      </c>
      <c r="B393" s="15" t="s">
        <v>412</v>
      </c>
      <c r="C393" t="s">
        <v>399</v>
      </c>
      <c r="D393" t="s">
        <v>401</v>
      </c>
      <c r="E393" s="17" t="s">
        <v>386</v>
      </c>
      <c r="F393" s="17">
        <v>167749</v>
      </c>
      <c r="G393" s="17">
        <v>167697</v>
      </c>
      <c r="H393">
        <f t="shared" si="20"/>
        <v>52</v>
      </c>
      <c r="I393">
        <v>101</v>
      </c>
      <c r="J393">
        <f t="shared" si="21"/>
        <v>8687</v>
      </c>
    </row>
    <row r="394" spans="1:10" x14ac:dyDescent="0.2">
      <c r="A394">
        <v>4</v>
      </c>
      <c r="B394" s="15" t="s">
        <v>412</v>
      </c>
      <c r="C394" t="s">
        <v>399</v>
      </c>
      <c r="D394" t="s">
        <v>401</v>
      </c>
      <c r="E394" s="17" t="s">
        <v>387</v>
      </c>
      <c r="F394" s="17">
        <v>176219</v>
      </c>
      <c r="G394" s="17">
        <v>176175</v>
      </c>
      <c r="H394">
        <f t="shared" si="20"/>
        <v>44</v>
      </c>
      <c r="I394">
        <v>101</v>
      </c>
      <c r="J394">
        <f t="shared" si="21"/>
        <v>8470</v>
      </c>
    </row>
    <row r="395" spans="1:10" x14ac:dyDescent="0.2">
      <c r="A395">
        <v>4</v>
      </c>
      <c r="B395" s="15" t="s">
        <v>412</v>
      </c>
      <c r="C395" t="s">
        <v>399</v>
      </c>
      <c r="D395" t="s">
        <v>401</v>
      </c>
      <c r="E395" s="17" t="s">
        <v>388</v>
      </c>
      <c r="F395" s="17">
        <v>184851</v>
      </c>
      <c r="G395" s="17">
        <v>184815</v>
      </c>
      <c r="H395">
        <f t="shared" si="20"/>
        <v>36</v>
      </c>
      <c r="I395">
        <v>101</v>
      </c>
      <c r="J395">
        <f t="shared" si="21"/>
        <v>8632</v>
      </c>
    </row>
    <row r="396" spans="1:10" x14ac:dyDescent="0.2">
      <c r="A396">
        <v>4</v>
      </c>
      <c r="B396" s="15" t="s">
        <v>412</v>
      </c>
      <c r="C396" t="s">
        <v>399</v>
      </c>
      <c r="D396" t="s">
        <v>401</v>
      </c>
      <c r="E396" s="17" t="s">
        <v>389</v>
      </c>
      <c r="F396" s="17">
        <v>193500</v>
      </c>
      <c r="G396" s="17">
        <v>193459</v>
      </c>
      <c r="H396">
        <f t="shared" si="20"/>
        <v>41</v>
      </c>
      <c r="I396">
        <v>101</v>
      </c>
      <c r="J396">
        <f t="shared" si="21"/>
        <v>8649</v>
      </c>
    </row>
    <row r="397" spans="1:10" x14ac:dyDescent="0.2">
      <c r="A397">
        <v>4</v>
      </c>
      <c r="B397" s="15" t="s">
        <v>412</v>
      </c>
      <c r="C397" t="s">
        <v>399</v>
      </c>
      <c r="D397" t="s">
        <v>401</v>
      </c>
      <c r="E397" s="17" t="s">
        <v>390</v>
      </c>
      <c r="F397" s="17">
        <v>202249</v>
      </c>
      <c r="G397" s="17">
        <v>202204</v>
      </c>
      <c r="H397">
        <f t="shared" si="20"/>
        <v>45</v>
      </c>
      <c r="I397">
        <v>101</v>
      </c>
      <c r="J397">
        <f t="shared" si="21"/>
        <v>8749</v>
      </c>
    </row>
    <row r="398" spans="1:10" x14ac:dyDescent="0.2">
      <c r="A398">
        <v>4</v>
      </c>
      <c r="B398" s="15" t="s">
        <v>412</v>
      </c>
      <c r="C398" t="s">
        <v>399</v>
      </c>
      <c r="D398" t="s">
        <v>401</v>
      </c>
      <c r="E398" s="17" t="s">
        <v>391</v>
      </c>
      <c r="F398" s="17">
        <v>210763</v>
      </c>
      <c r="G398" s="17">
        <v>210727</v>
      </c>
      <c r="H398">
        <f t="shared" si="20"/>
        <v>36</v>
      </c>
      <c r="I398">
        <v>101</v>
      </c>
      <c r="J398">
        <f t="shared" si="21"/>
        <v>8514</v>
      </c>
    </row>
    <row r="399" spans="1:10" x14ac:dyDescent="0.2">
      <c r="A399">
        <v>4</v>
      </c>
      <c r="B399" s="15" t="s">
        <v>412</v>
      </c>
      <c r="C399" t="s">
        <v>399</v>
      </c>
      <c r="D399" t="s">
        <v>401</v>
      </c>
      <c r="E399" s="17" t="s">
        <v>392</v>
      </c>
      <c r="F399" s="17">
        <v>219459</v>
      </c>
      <c r="G399" s="17">
        <v>219414</v>
      </c>
      <c r="H399">
        <f t="shared" si="20"/>
        <v>45</v>
      </c>
      <c r="I399">
        <v>101</v>
      </c>
      <c r="J399">
        <f t="shared" si="21"/>
        <v>8696</v>
      </c>
    </row>
    <row r="400" spans="1:10" x14ac:dyDescent="0.2">
      <c r="A400">
        <v>4</v>
      </c>
      <c r="B400" s="15" t="s">
        <v>412</v>
      </c>
      <c r="C400" t="s">
        <v>399</v>
      </c>
      <c r="D400" t="s">
        <v>401</v>
      </c>
      <c r="E400" s="17" t="s">
        <v>393</v>
      </c>
      <c r="F400" s="17">
        <v>227950</v>
      </c>
      <c r="G400" s="17">
        <v>227908</v>
      </c>
      <c r="H400">
        <f t="shared" si="20"/>
        <v>42</v>
      </c>
      <c r="I400">
        <v>101</v>
      </c>
      <c r="J400">
        <f t="shared" si="21"/>
        <v>8491</v>
      </c>
    </row>
    <row r="401" spans="1:10" x14ac:dyDescent="0.2">
      <c r="A401">
        <v>4</v>
      </c>
      <c r="B401" s="15" t="s">
        <v>412</v>
      </c>
      <c r="C401" t="s">
        <v>399</v>
      </c>
      <c r="D401" t="s">
        <v>401</v>
      </c>
      <c r="E401" s="17" t="s">
        <v>394</v>
      </c>
      <c r="F401" s="17">
        <v>236713</v>
      </c>
      <c r="G401" s="17">
        <v>236668</v>
      </c>
      <c r="H401">
        <f t="shared" si="20"/>
        <v>45</v>
      </c>
      <c r="I401">
        <v>101</v>
      </c>
      <c r="J401">
        <f t="shared" si="21"/>
        <v>8763</v>
      </c>
    </row>
    <row r="402" spans="1:10" x14ac:dyDescent="0.2">
      <c r="A402">
        <v>4</v>
      </c>
      <c r="B402" s="15" t="s">
        <v>412</v>
      </c>
      <c r="C402" t="s">
        <v>399</v>
      </c>
      <c r="D402" t="s">
        <v>401</v>
      </c>
      <c r="E402" s="17" t="s">
        <v>395</v>
      </c>
      <c r="F402" s="17">
        <v>245300</v>
      </c>
      <c r="G402" s="17">
        <v>245250</v>
      </c>
      <c r="H402">
        <f t="shared" si="20"/>
        <v>50</v>
      </c>
      <c r="I402">
        <v>101</v>
      </c>
      <c r="J402">
        <f t="shared" si="21"/>
        <v>8587</v>
      </c>
    </row>
    <row r="403" spans="1:10" x14ac:dyDescent="0.2">
      <c r="A403">
        <v>4</v>
      </c>
      <c r="B403" s="15" t="s">
        <v>412</v>
      </c>
      <c r="C403" t="s">
        <v>399</v>
      </c>
      <c r="D403" t="s">
        <v>401</v>
      </c>
      <c r="E403" s="17" t="s">
        <v>396</v>
      </c>
      <c r="F403" s="17">
        <v>254032</v>
      </c>
      <c r="G403" s="17">
        <v>253986</v>
      </c>
      <c r="H403">
        <f t="shared" si="20"/>
        <v>46</v>
      </c>
      <c r="I403">
        <v>101</v>
      </c>
      <c r="J403">
        <f t="shared" si="21"/>
        <v>8732</v>
      </c>
    </row>
    <row r="404" spans="1:10" x14ac:dyDescent="0.2">
      <c r="A404">
        <v>4</v>
      </c>
      <c r="B404" s="15" t="s">
        <v>412</v>
      </c>
      <c r="C404" t="s">
        <v>399</v>
      </c>
      <c r="D404" t="s">
        <v>380</v>
      </c>
      <c r="E404" s="17" t="s">
        <v>362</v>
      </c>
      <c r="F404" s="17">
        <v>4375</v>
      </c>
      <c r="G404" s="17">
        <v>4416</v>
      </c>
      <c r="H404">
        <f t="shared" si="20"/>
        <v>-41</v>
      </c>
      <c r="I404">
        <v>101</v>
      </c>
    </row>
    <row r="405" spans="1:10" x14ac:dyDescent="0.2">
      <c r="A405">
        <v>4</v>
      </c>
      <c r="B405" s="15" t="s">
        <v>412</v>
      </c>
      <c r="C405" t="s">
        <v>399</v>
      </c>
      <c r="D405" t="s">
        <v>380</v>
      </c>
      <c r="E405" s="17" t="s">
        <v>363</v>
      </c>
      <c r="F405" s="17">
        <v>12789</v>
      </c>
      <c r="G405" s="17">
        <v>12830</v>
      </c>
      <c r="H405">
        <f t="shared" si="20"/>
        <v>-41</v>
      </c>
      <c r="I405">
        <v>101</v>
      </c>
      <c r="J405">
        <f t="shared" ref="J405:J433" si="22">F405-F404</f>
        <v>8414</v>
      </c>
    </row>
    <row r="406" spans="1:10" x14ac:dyDescent="0.2">
      <c r="A406">
        <v>4</v>
      </c>
      <c r="B406" s="15" t="s">
        <v>412</v>
      </c>
      <c r="C406" t="s">
        <v>399</v>
      </c>
      <c r="D406" t="s">
        <v>380</v>
      </c>
      <c r="E406" s="17" t="s">
        <v>364</v>
      </c>
      <c r="F406" s="17">
        <v>21459</v>
      </c>
      <c r="G406" s="17">
        <v>21502</v>
      </c>
      <c r="H406">
        <f t="shared" si="20"/>
        <v>-43</v>
      </c>
      <c r="I406">
        <v>101</v>
      </c>
      <c r="J406">
        <f t="shared" si="22"/>
        <v>8670</v>
      </c>
    </row>
    <row r="407" spans="1:10" x14ac:dyDescent="0.2">
      <c r="A407">
        <v>4</v>
      </c>
      <c r="B407" s="15" t="s">
        <v>412</v>
      </c>
      <c r="C407" t="s">
        <v>399</v>
      </c>
      <c r="D407" t="s">
        <v>380</v>
      </c>
      <c r="E407" s="17" t="s">
        <v>365</v>
      </c>
      <c r="F407" s="17">
        <v>30283</v>
      </c>
      <c r="G407" s="17">
        <v>30328</v>
      </c>
      <c r="H407">
        <f t="shared" si="20"/>
        <v>-45</v>
      </c>
      <c r="I407">
        <v>101</v>
      </c>
      <c r="J407">
        <f t="shared" si="22"/>
        <v>8824</v>
      </c>
    </row>
    <row r="408" spans="1:10" x14ac:dyDescent="0.2">
      <c r="A408">
        <v>4</v>
      </c>
      <c r="B408" s="15" t="s">
        <v>412</v>
      </c>
      <c r="C408" t="s">
        <v>399</v>
      </c>
      <c r="D408" t="s">
        <v>380</v>
      </c>
      <c r="E408" s="17" t="s">
        <v>366</v>
      </c>
      <c r="F408" s="17">
        <v>38885</v>
      </c>
      <c r="G408" s="17">
        <v>38928</v>
      </c>
      <c r="H408">
        <f t="shared" si="20"/>
        <v>-43</v>
      </c>
      <c r="I408">
        <v>101</v>
      </c>
      <c r="J408">
        <f t="shared" si="22"/>
        <v>8602</v>
      </c>
    </row>
    <row r="409" spans="1:10" x14ac:dyDescent="0.2">
      <c r="A409">
        <v>4</v>
      </c>
      <c r="B409" s="15" t="s">
        <v>412</v>
      </c>
      <c r="C409" t="s">
        <v>399</v>
      </c>
      <c r="D409" t="s">
        <v>380</v>
      </c>
      <c r="E409" s="17" t="s">
        <v>367</v>
      </c>
      <c r="F409" s="17">
        <v>47635</v>
      </c>
      <c r="G409" s="17">
        <v>47680</v>
      </c>
      <c r="H409">
        <f t="shared" si="20"/>
        <v>-45</v>
      </c>
      <c r="I409">
        <v>101</v>
      </c>
      <c r="J409">
        <f t="shared" si="22"/>
        <v>8750</v>
      </c>
    </row>
    <row r="410" spans="1:10" x14ac:dyDescent="0.2">
      <c r="A410">
        <v>4</v>
      </c>
      <c r="B410" s="15" t="s">
        <v>412</v>
      </c>
      <c r="C410" t="s">
        <v>399</v>
      </c>
      <c r="D410" t="s">
        <v>380</v>
      </c>
      <c r="E410" s="17" t="s">
        <v>368</v>
      </c>
      <c r="F410" s="17">
        <v>56180</v>
      </c>
      <c r="G410" s="17">
        <v>56224</v>
      </c>
      <c r="H410">
        <f t="shared" si="20"/>
        <v>-44</v>
      </c>
      <c r="I410">
        <v>101</v>
      </c>
      <c r="J410">
        <f t="shared" si="22"/>
        <v>8545</v>
      </c>
    </row>
    <row r="411" spans="1:10" x14ac:dyDescent="0.2">
      <c r="A411">
        <v>4</v>
      </c>
      <c r="B411" s="15" t="s">
        <v>412</v>
      </c>
      <c r="C411" t="s">
        <v>399</v>
      </c>
      <c r="D411" t="s">
        <v>380</v>
      </c>
      <c r="E411" s="17" t="s">
        <v>369</v>
      </c>
      <c r="F411" s="17">
        <v>64880</v>
      </c>
      <c r="G411" s="17">
        <v>64924</v>
      </c>
      <c r="H411">
        <f t="shared" si="20"/>
        <v>-44</v>
      </c>
      <c r="I411">
        <v>101</v>
      </c>
      <c r="J411">
        <f t="shared" si="22"/>
        <v>8700</v>
      </c>
    </row>
    <row r="412" spans="1:10" x14ac:dyDescent="0.2">
      <c r="A412">
        <v>4</v>
      </c>
      <c r="B412" s="15" t="s">
        <v>412</v>
      </c>
      <c r="C412" t="s">
        <v>399</v>
      </c>
      <c r="D412" t="s">
        <v>380</v>
      </c>
      <c r="E412" s="17" t="s">
        <v>370</v>
      </c>
      <c r="F412" s="17">
        <v>73381</v>
      </c>
      <c r="G412" s="17">
        <v>73426</v>
      </c>
      <c r="H412">
        <f t="shared" si="20"/>
        <v>-45</v>
      </c>
      <c r="I412">
        <v>101</v>
      </c>
      <c r="J412">
        <f t="shared" si="22"/>
        <v>8501</v>
      </c>
    </row>
    <row r="413" spans="1:10" x14ac:dyDescent="0.2">
      <c r="A413">
        <v>4</v>
      </c>
      <c r="B413" s="15" t="s">
        <v>412</v>
      </c>
      <c r="C413" t="s">
        <v>399</v>
      </c>
      <c r="D413" t="s">
        <v>380</v>
      </c>
      <c r="E413" s="17" t="s">
        <v>371</v>
      </c>
      <c r="F413" s="17">
        <v>82017</v>
      </c>
      <c r="G413" s="17">
        <v>82060</v>
      </c>
      <c r="H413">
        <f t="shared" si="20"/>
        <v>-43</v>
      </c>
      <c r="I413">
        <v>101</v>
      </c>
      <c r="J413">
        <f t="shared" si="22"/>
        <v>8636</v>
      </c>
    </row>
    <row r="414" spans="1:10" x14ac:dyDescent="0.2">
      <c r="A414">
        <v>4</v>
      </c>
      <c r="B414" s="15" t="s">
        <v>412</v>
      </c>
      <c r="C414" t="s">
        <v>399</v>
      </c>
      <c r="D414" t="s">
        <v>380</v>
      </c>
      <c r="E414" s="17" t="s">
        <v>372</v>
      </c>
      <c r="F414" s="17">
        <v>90835</v>
      </c>
      <c r="G414" s="17">
        <v>90879</v>
      </c>
      <c r="H414">
        <f t="shared" si="20"/>
        <v>-44</v>
      </c>
      <c r="I414">
        <v>101</v>
      </c>
      <c r="J414">
        <f t="shared" si="22"/>
        <v>8818</v>
      </c>
    </row>
    <row r="415" spans="1:10" x14ac:dyDescent="0.2">
      <c r="A415">
        <v>4</v>
      </c>
      <c r="B415" s="15" t="s">
        <v>412</v>
      </c>
      <c r="C415" t="s">
        <v>399</v>
      </c>
      <c r="D415" t="s">
        <v>380</v>
      </c>
      <c r="E415" s="17" t="s">
        <v>373</v>
      </c>
      <c r="F415" s="17">
        <v>99429</v>
      </c>
      <c r="G415" s="17">
        <v>99472</v>
      </c>
      <c r="H415">
        <f t="shared" si="20"/>
        <v>-43</v>
      </c>
      <c r="I415">
        <v>101</v>
      </c>
      <c r="J415">
        <f t="shared" si="22"/>
        <v>8594</v>
      </c>
    </row>
    <row r="416" spans="1:10" x14ac:dyDescent="0.2">
      <c r="A416">
        <v>4</v>
      </c>
      <c r="B416" s="15" t="s">
        <v>412</v>
      </c>
      <c r="C416" t="s">
        <v>399</v>
      </c>
      <c r="D416" t="s">
        <v>380</v>
      </c>
      <c r="E416" s="17" t="s">
        <v>374</v>
      </c>
      <c r="F416" s="17">
        <v>108165</v>
      </c>
      <c r="G416" s="17">
        <v>108208</v>
      </c>
      <c r="H416">
        <f t="shared" si="20"/>
        <v>-43</v>
      </c>
      <c r="I416">
        <v>101</v>
      </c>
      <c r="J416">
        <f t="shared" si="22"/>
        <v>8736</v>
      </c>
    </row>
    <row r="417" spans="1:10" x14ac:dyDescent="0.2">
      <c r="A417">
        <v>4</v>
      </c>
      <c r="B417" s="15" t="s">
        <v>412</v>
      </c>
      <c r="C417" t="s">
        <v>399</v>
      </c>
      <c r="D417" t="s">
        <v>380</v>
      </c>
      <c r="E417" s="17" t="s">
        <v>375</v>
      </c>
      <c r="F417" s="17">
        <v>116682</v>
      </c>
      <c r="G417" s="17">
        <v>116725</v>
      </c>
      <c r="H417">
        <f t="shared" si="20"/>
        <v>-43</v>
      </c>
      <c r="I417">
        <v>101</v>
      </c>
      <c r="J417">
        <f t="shared" si="22"/>
        <v>8517</v>
      </c>
    </row>
    <row r="418" spans="1:10" x14ac:dyDescent="0.2">
      <c r="A418">
        <v>4</v>
      </c>
      <c r="B418" s="15" t="s">
        <v>412</v>
      </c>
      <c r="C418" t="s">
        <v>399</v>
      </c>
      <c r="D418" t="s">
        <v>380</v>
      </c>
      <c r="E418" s="17" t="s">
        <v>376</v>
      </c>
      <c r="F418" s="17">
        <v>125375</v>
      </c>
      <c r="G418" s="17">
        <v>125419</v>
      </c>
      <c r="H418">
        <f t="shared" si="20"/>
        <v>-44</v>
      </c>
      <c r="I418">
        <v>101</v>
      </c>
      <c r="J418">
        <f t="shared" si="22"/>
        <v>8693</v>
      </c>
    </row>
    <row r="419" spans="1:10" x14ac:dyDescent="0.2">
      <c r="A419">
        <v>4</v>
      </c>
      <c r="B419" s="15" t="s">
        <v>412</v>
      </c>
      <c r="C419" t="s">
        <v>399</v>
      </c>
      <c r="D419" t="s">
        <v>380</v>
      </c>
      <c r="E419" s="17" t="s">
        <v>377</v>
      </c>
      <c r="F419" s="17">
        <v>134273</v>
      </c>
      <c r="G419" s="17">
        <v>134314</v>
      </c>
      <c r="H419">
        <f t="shared" si="20"/>
        <v>-41</v>
      </c>
      <c r="I419">
        <v>101</v>
      </c>
      <c r="J419">
        <f t="shared" si="22"/>
        <v>8898</v>
      </c>
    </row>
    <row r="420" spans="1:10" x14ac:dyDescent="0.2">
      <c r="A420">
        <v>4</v>
      </c>
      <c r="B420" s="15" t="s">
        <v>412</v>
      </c>
      <c r="C420" t="s">
        <v>399</v>
      </c>
      <c r="D420" t="s">
        <v>380</v>
      </c>
      <c r="E420" s="17" t="s">
        <v>378</v>
      </c>
      <c r="F420" s="17">
        <v>142848</v>
      </c>
      <c r="G420" s="17">
        <v>142891</v>
      </c>
      <c r="H420">
        <f t="shared" si="20"/>
        <v>-43</v>
      </c>
      <c r="I420">
        <v>101</v>
      </c>
      <c r="J420">
        <f t="shared" si="22"/>
        <v>8575</v>
      </c>
    </row>
    <row r="421" spans="1:10" x14ac:dyDescent="0.2">
      <c r="A421">
        <v>4</v>
      </c>
      <c r="B421" s="15" t="s">
        <v>412</v>
      </c>
      <c r="C421" t="s">
        <v>399</v>
      </c>
      <c r="D421" t="s">
        <v>380</v>
      </c>
      <c r="E421" s="17" t="s">
        <v>384</v>
      </c>
      <c r="F421" s="17">
        <v>151571</v>
      </c>
      <c r="G421" s="17">
        <v>151609</v>
      </c>
      <c r="H421">
        <f t="shared" si="20"/>
        <v>-38</v>
      </c>
      <c r="I421">
        <v>101</v>
      </c>
      <c r="J421">
        <f t="shared" si="22"/>
        <v>8723</v>
      </c>
    </row>
    <row r="422" spans="1:10" x14ac:dyDescent="0.2">
      <c r="A422">
        <v>4</v>
      </c>
      <c r="B422" s="15" t="s">
        <v>412</v>
      </c>
      <c r="C422" t="s">
        <v>399</v>
      </c>
      <c r="D422" t="s">
        <v>380</v>
      </c>
      <c r="E422" s="17" t="s">
        <v>385</v>
      </c>
      <c r="F422" s="17">
        <v>160071</v>
      </c>
      <c r="G422" s="17">
        <v>160114</v>
      </c>
      <c r="H422">
        <f t="shared" si="20"/>
        <v>-43</v>
      </c>
      <c r="I422">
        <v>101</v>
      </c>
      <c r="J422">
        <f t="shared" si="22"/>
        <v>8500</v>
      </c>
    </row>
    <row r="423" spans="1:10" x14ac:dyDescent="0.2">
      <c r="A423">
        <v>4</v>
      </c>
      <c r="B423" s="15" t="s">
        <v>412</v>
      </c>
      <c r="C423" t="s">
        <v>399</v>
      </c>
      <c r="D423" t="s">
        <v>380</v>
      </c>
      <c r="E423" s="17" t="s">
        <v>386</v>
      </c>
      <c r="F423" s="17">
        <v>168739</v>
      </c>
      <c r="G423" s="17">
        <v>168781</v>
      </c>
      <c r="H423">
        <f t="shared" si="20"/>
        <v>-42</v>
      </c>
      <c r="I423">
        <v>101</v>
      </c>
      <c r="J423">
        <f t="shared" si="22"/>
        <v>8668</v>
      </c>
    </row>
    <row r="424" spans="1:10" x14ac:dyDescent="0.2">
      <c r="A424">
        <v>4</v>
      </c>
      <c r="B424" s="15" t="s">
        <v>412</v>
      </c>
      <c r="C424" t="s">
        <v>399</v>
      </c>
      <c r="D424" t="s">
        <v>380</v>
      </c>
      <c r="E424" s="17" t="s">
        <v>387</v>
      </c>
      <c r="F424" s="17">
        <v>177211</v>
      </c>
      <c r="G424" s="17">
        <v>177254</v>
      </c>
      <c r="H424">
        <f t="shared" si="20"/>
        <v>-43</v>
      </c>
      <c r="I424">
        <v>101</v>
      </c>
      <c r="J424">
        <f t="shared" si="22"/>
        <v>8472</v>
      </c>
    </row>
    <row r="425" spans="1:10" x14ac:dyDescent="0.2">
      <c r="A425">
        <v>4</v>
      </c>
      <c r="B425" s="15" t="s">
        <v>412</v>
      </c>
      <c r="C425" t="s">
        <v>399</v>
      </c>
      <c r="D425" t="s">
        <v>380</v>
      </c>
      <c r="E425" s="17" t="s">
        <v>388</v>
      </c>
      <c r="F425" s="17">
        <v>185860</v>
      </c>
      <c r="G425" s="17">
        <v>185902</v>
      </c>
      <c r="H425">
        <f t="shared" si="20"/>
        <v>-42</v>
      </c>
      <c r="I425">
        <v>101</v>
      </c>
      <c r="J425">
        <f t="shared" si="22"/>
        <v>8649</v>
      </c>
    </row>
    <row r="426" spans="1:10" x14ac:dyDescent="0.2">
      <c r="A426">
        <v>4</v>
      </c>
      <c r="B426" s="15" t="s">
        <v>412</v>
      </c>
      <c r="C426" t="s">
        <v>399</v>
      </c>
      <c r="D426" t="s">
        <v>380</v>
      </c>
      <c r="E426" s="17" t="s">
        <v>389</v>
      </c>
      <c r="F426" s="17">
        <v>194501</v>
      </c>
      <c r="G426" s="17">
        <v>194540</v>
      </c>
      <c r="H426">
        <f t="shared" si="20"/>
        <v>-39</v>
      </c>
      <c r="I426">
        <v>101</v>
      </c>
      <c r="J426">
        <f t="shared" si="22"/>
        <v>8641</v>
      </c>
    </row>
    <row r="427" spans="1:10" x14ac:dyDescent="0.2">
      <c r="A427">
        <v>4</v>
      </c>
      <c r="B427" s="15" t="s">
        <v>412</v>
      </c>
      <c r="C427" t="s">
        <v>399</v>
      </c>
      <c r="D427" t="s">
        <v>380</v>
      </c>
      <c r="E427" s="17" t="s">
        <v>390</v>
      </c>
      <c r="F427" s="17">
        <v>203258</v>
      </c>
      <c r="G427" s="17">
        <v>203298</v>
      </c>
      <c r="H427">
        <f t="shared" si="20"/>
        <v>-40</v>
      </c>
      <c r="I427">
        <v>101</v>
      </c>
      <c r="J427">
        <f t="shared" si="22"/>
        <v>8757</v>
      </c>
    </row>
    <row r="428" spans="1:10" x14ac:dyDescent="0.2">
      <c r="A428">
        <v>4</v>
      </c>
      <c r="B428" s="15" t="s">
        <v>412</v>
      </c>
      <c r="C428" t="s">
        <v>399</v>
      </c>
      <c r="D428" t="s">
        <v>380</v>
      </c>
      <c r="E428" s="17" t="s">
        <v>391</v>
      </c>
      <c r="F428" s="17">
        <v>211779</v>
      </c>
      <c r="G428" s="17">
        <v>211824</v>
      </c>
      <c r="H428">
        <f t="shared" si="20"/>
        <v>-45</v>
      </c>
      <c r="I428">
        <v>101</v>
      </c>
      <c r="J428">
        <f t="shared" si="22"/>
        <v>8521</v>
      </c>
    </row>
    <row r="429" spans="1:10" x14ac:dyDescent="0.2">
      <c r="A429">
        <v>4</v>
      </c>
      <c r="B429" s="15" t="s">
        <v>412</v>
      </c>
      <c r="C429" t="s">
        <v>399</v>
      </c>
      <c r="D429" t="s">
        <v>380</v>
      </c>
      <c r="E429" s="17" t="s">
        <v>392</v>
      </c>
      <c r="F429" s="17">
        <v>220462</v>
      </c>
      <c r="G429" s="17">
        <v>220506</v>
      </c>
      <c r="H429">
        <f t="shared" si="20"/>
        <v>-44</v>
      </c>
      <c r="I429">
        <v>101</v>
      </c>
      <c r="J429">
        <f t="shared" si="22"/>
        <v>8683</v>
      </c>
    </row>
    <row r="430" spans="1:10" x14ac:dyDescent="0.2">
      <c r="A430">
        <v>4</v>
      </c>
      <c r="B430" s="15" t="s">
        <v>412</v>
      </c>
      <c r="C430" t="s">
        <v>399</v>
      </c>
      <c r="D430" t="s">
        <v>380</v>
      </c>
      <c r="E430" s="17" t="s">
        <v>393</v>
      </c>
      <c r="F430" s="17">
        <v>228947</v>
      </c>
      <c r="G430" s="17">
        <v>228990</v>
      </c>
      <c r="H430">
        <f t="shared" si="20"/>
        <v>-43</v>
      </c>
      <c r="I430">
        <v>101</v>
      </c>
      <c r="J430">
        <f t="shared" si="22"/>
        <v>8485</v>
      </c>
    </row>
    <row r="431" spans="1:10" x14ac:dyDescent="0.2">
      <c r="A431">
        <v>4</v>
      </c>
      <c r="B431" s="15" t="s">
        <v>412</v>
      </c>
      <c r="C431" t="s">
        <v>399</v>
      </c>
      <c r="D431" t="s">
        <v>380</v>
      </c>
      <c r="E431" s="17" t="s">
        <v>394</v>
      </c>
      <c r="F431" s="17">
        <v>237710</v>
      </c>
      <c r="G431" s="17">
        <v>237754</v>
      </c>
      <c r="H431">
        <f t="shared" si="20"/>
        <v>-44</v>
      </c>
      <c r="I431">
        <v>101</v>
      </c>
      <c r="J431">
        <f t="shared" si="22"/>
        <v>8763</v>
      </c>
    </row>
    <row r="432" spans="1:10" x14ac:dyDescent="0.2">
      <c r="A432">
        <v>4</v>
      </c>
      <c r="B432" s="15" t="s">
        <v>412</v>
      </c>
      <c r="C432" t="s">
        <v>399</v>
      </c>
      <c r="D432" t="s">
        <v>380</v>
      </c>
      <c r="E432" s="17" t="s">
        <v>395</v>
      </c>
      <c r="F432" s="17">
        <v>246306</v>
      </c>
      <c r="G432" s="17">
        <v>246348</v>
      </c>
      <c r="H432">
        <f t="shared" si="20"/>
        <v>-42</v>
      </c>
      <c r="I432">
        <v>101</v>
      </c>
      <c r="J432">
        <f t="shared" si="22"/>
        <v>8596</v>
      </c>
    </row>
    <row r="433" spans="1:10" x14ac:dyDescent="0.2">
      <c r="A433">
        <v>4</v>
      </c>
      <c r="B433" s="15" t="s">
        <v>412</v>
      </c>
      <c r="C433" t="s">
        <v>399</v>
      </c>
      <c r="D433" t="s">
        <v>380</v>
      </c>
      <c r="E433" s="17" t="s">
        <v>396</v>
      </c>
      <c r="F433" s="17">
        <v>255036</v>
      </c>
      <c r="G433" s="17">
        <v>255080</v>
      </c>
      <c r="H433">
        <f t="shared" si="20"/>
        <v>-44</v>
      </c>
      <c r="I433">
        <v>101</v>
      </c>
      <c r="J433">
        <f t="shared" si="22"/>
        <v>8730</v>
      </c>
    </row>
    <row r="434" spans="1:10" x14ac:dyDescent="0.2">
      <c r="A434">
        <v>4</v>
      </c>
      <c r="B434" s="15" t="s">
        <v>412</v>
      </c>
      <c r="C434" t="s">
        <v>399</v>
      </c>
      <c r="D434" t="s">
        <v>401</v>
      </c>
      <c r="E434" s="17" t="s">
        <v>362</v>
      </c>
      <c r="F434" s="17">
        <v>3375</v>
      </c>
      <c r="G434" s="17">
        <v>3355</v>
      </c>
      <c r="H434">
        <f>F434-G434</f>
        <v>20</v>
      </c>
      <c r="I434">
        <v>41</v>
      </c>
    </row>
    <row r="435" spans="1:10" x14ac:dyDescent="0.2">
      <c r="A435">
        <v>4</v>
      </c>
      <c r="B435" s="15" t="s">
        <v>412</v>
      </c>
      <c r="C435" t="s">
        <v>399</v>
      </c>
      <c r="D435" t="s">
        <v>401</v>
      </c>
      <c r="E435" s="17" t="s">
        <v>363</v>
      </c>
      <c r="F435" s="17">
        <v>11787</v>
      </c>
      <c r="G435" s="17">
        <v>11774</v>
      </c>
      <c r="H435">
        <f t="shared" ref="H435:H493" si="23">F435-G435</f>
        <v>13</v>
      </c>
      <c r="I435">
        <v>41</v>
      </c>
      <c r="J435">
        <f>F435-F434</f>
        <v>8412</v>
      </c>
    </row>
    <row r="436" spans="1:10" x14ac:dyDescent="0.2">
      <c r="A436">
        <v>4</v>
      </c>
      <c r="B436" s="15" t="s">
        <v>412</v>
      </c>
      <c r="C436" t="s">
        <v>399</v>
      </c>
      <c r="D436" t="s">
        <v>401</v>
      </c>
      <c r="E436" s="17" t="s">
        <v>364</v>
      </c>
      <c r="F436" s="17">
        <v>20446</v>
      </c>
      <c r="G436" s="17">
        <v>20435</v>
      </c>
      <c r="H436">
        <f t="shared" si="23"/>
        <v>11</v>
      </c>
      <c r="I436">
        <v>41</v>
      </c>
      <c r="J436">
        <f t="shared" ref="J436:J463" si="24">F436-F435</f>
        <v>8659</v>
      </c>
    </row>
    <row r="437" spans="1:10" x14ac:dyDescent="0.2">
      <c r="A437">
        <v>4</v>
      </c>
      <c r="B437" s="15" t="s">
        <v>412</v>
      </c>
      <c r="C437" t="s">
        <v>399</v>
      </c>
      <c r="D437" t="s">
        <v>401</v>
      </c>
      <c r="E437" s="17" t="s">
        <v>365</v>
      </c>
      <c r="F437" s="17">
        <v>29277</v>
      </c>
      <c r="G437" s="17">
        <v>29263</v>
      </c>
      <c r="H437">
        <f t="shared" si="23"/>
        <v>14</v>
      </c>
      <c r="I437">
        <v>41</v>
      </c>
      <c r="J437">
        <f t="shared" si="24"/>
        <v>8831</v>
      </c>
    </row>
    <row r="438" spans="1:10" x14ac:dyDescent="0.2">
      <c r="A438">
        <v>4</v>
      </c>
      <c r="B438" s="15" t="s">
        <v>412</v>
      </c>
      <c r="C438" t="s">
        <v>399</v>
      </c>
      <c r="D438" t="s">
        <v>401</v>
      </c>
      <c r="E438" s="17" t="s">
        <v>366</v>
      </c>
      <c r="F438" s="17">
        <v>37882</v>
      </c>
      <c r="G438" s="17">
        <v>37867</v>
      </c>
      <c r="H438">
        <f t="shared" si="23"/>
        <v>15</v>
      </c>
      <c r="I438">
        <v>41</v>
      </c>
      <c r="J438">
        <f t="shared" si="24"/>
        <v>8605</v>
      </c>
    </row>
    <row r="439" spans="1:10" x14ac:dyDescent="0.2">
      <c r="A439">
        <v>4</v>
      </c>
      <c r="B439" s="15" t="s">
        <v>412</v>
      </c>
      <c r="C439" t="s">
        <v>399</v>
      </c>
      <c r="D439" t="s">
        <v>401</v>
      </c>
      <c r="E439" s="17" t="s">
        <v>367</v>
      </c>
      <c r="F439" s="17">
        <v>46635</v>
      </c>
      <c r="G439" s="17">
        <v>46620</v>
      </c>
      <c r="H439">
        <f t="shared" si="23"/>
        <v>15</v>
      </c>
      <c r="I439">
        <v>41</v>
      </c>
      <c r="J439">
        <f t="shared" si="24"/>
        <v>8753</v>
      </c>
    </row>
    <row r="440" spans="1:10" x14ac:dyDescent="0.2">
      <c r="A440">
        <v>4</v>
      </c>
      <c r="B440" s="15" t="s">
        <v>412</v>
      </c>
      <c r="C440" t="s">
        <v>399</v>
      </c>
      <c r="D440" t="s">
        <v>401</v>
      </c>
      <c r="E440" s="17" t="s">
        <v>368</v>
      </c>
      <c r="F440" s="17">
        <v>55167</v>
      </c>
      <c r="G440" s="17">
        <v>55151</v>
      </c>
      <c r="H440">
        <f t="shared" si="23"/>
        <v>16</v>
      </c>
      <c r="I440">
        <v>41</v>
      </c>
      <c r="J440">
        <f t="shared" si="24"/>
        <v>8532</v>
      </c>
    </row>
    <row r="441" spans="1:10" x14ac:dyDescent="0.2">
      <c r="A441">
        <v>4</v>
      </c>
      <c r="B441" s="15" t="s">
        <v>412</v>
      </c>
      <c r="C441" t="s">
        <v>399</v>
      </c>
      <c r="D441" t="s">
        <v>401</v>
      </c>
      <c r="E441" s="17" t="s">
        <v>369</v>
      </c>
      <c r="F441" s="17">
        <v>63874</v>
      </c>
      <c r="G441" s="17">
        <v>63856</v>
      </c>
      <c r="H441">
        <f t="shared" si="23"/>
        <v>18</v>
      </c>
      <c r="I441">
        <v>41</v>
      </c>
      <c r="J441">
        <f t="shared" si="24"/>
        <v>8707</v>
      </c>
    </row>
    <row r="442" spans="1:10" x14ac:dyDescent="0.2">
      <c r="A442">
        <v>4</v>
      </c>
      <c r="B442" s="15" t="s">
        <v>412</v>
      </c>
      <c r="C442" t="s">
        <v>399</v>
      </c>
      <c r="D442" t="s">
        <v>401</v>
      </c>
      <c r="E442" s="17" t="s">
        <v>370</v>
      </c>
      <c r="F442" s="17">
        <v>72388</v>
      </c>
      <c r="G442" s="17">
        <v>72374</v>
      </c>
      <c r="H442">
        <f t="shared" si="23"/>
        <v>14</v>
      </c>
      <c r="I442">
        <v>41</v>
      </c>
      <c r="J442">
        <f t="shared" si="24"/>
        <v>8514</v>
      </c>
    </row>
    <row r="443" spans="1:10" x14ac:dyDescent="0.2">
      <c r="A443">
        <v>4</v>
      </c>
      <c r="B443" s="15" t="s">
        <v>412</v>
      </c>
      <c r="C443" t="s">
        <v>399</v>
      </c>
      <c r="D443" t="s">
        <v>401</v>
      </c>
      <c r="E443" s="17" t="s">
        <v>371</v>
      </c>
      <c r="F443" s="17">
        <v>81008</v>
      </c>
      <c r="G443" s="17">
        <v>80994</v>
      </c>
      <c r="H443">
        <f t="shared" si="23"/>
        <v>14</v>
      </c>
      <c r="I443">
        <v>41</v>
      </c>
      <c r="J443">
        <f t="shared" si="24"/>
        <v>8620</v>
      </c>
    </row>
    <row r="444" spans="1:10" x14ac:dyDescent="0.2">
      <c r="A444">
        <v>4</v>
      </c>
      <c r="B444" s="15" t="s">
        <v>412</v>
      </c>
      <c r="C444" t="s">
        <v>399</v>
      </c>
      <c r="D444" t="s">
        <v>401</v>
      </c>
      <c r="E444" s="17" t="s">
        <v>372</v>
      </c>
      <c r="F444" s="17">
        <v>89822</v>
      </c>
      <c r="G444" s="17">
        <v>89806</v>
      </c>
      <c r="H444">
        <f t="shared" si="23"/>
        <v>16</v>
      </c>
      <c r="I444">
        <v>41</v>
      </c>
      <c r="J444">
        <f t="shared" si="24"/>
        <v>8814</v>
      </c>
    </row>
    <row r="445" spans="1:10" x14ac:dyDescent="0.2">
      <c r="A445">
        <v>4</v>
      </c>
      <c r="B445" s="15" t="s">
        <v>412</v>
      </c>
      <c r="C445" t="s">
        <v>399</v>
      </c>
      <c r="D445" t="s">
        <v>401</v>
      </c>
      <c r="E445" s="17" t="s">
        <v>373</v>
      </c>
      <c r="F445" s="17">
        <v>98411</v>
      </c>
      <c r="G445" s="17">
        <v>98397</v>
      </c>
      <c r="H445">
        <f t="shared" si="23"/>
        <v>14</v>
      </c>
      <c r="I445">
        <v>41</v>
      </c>
      <c r="J445">
        <f t="shared" si="24"/>
        <v>8589</v>
      </c>
    </row>
    <row r="446" spans="1:10" x14ac:dyDescent="0.2">
      <c r="A446">
        <v>4</v>
      </c>
      <c r="B446" s="15" t="s">
        <v>412</v>
      </c>
      <c r="C446" t="s">
        <v>399</v>
      </c>
      <c r="D446" t="s">
        <v>401</v>
      </c>
      <c r="E446" s="17" t="s">
        <v>374</v>
      </c>
      <c r="F446" s="17">
        <v>107152</v>
      </c>
      <c r="G446" s="17">
        <v>107134</v>
      </c>
      <c r="H446">
        <f t="shared" si="23"/>
        <v>18</v>
      </c>
      <c r="I446">
        <v>41</v>
      </c>
      <c r="J446">
        <f t="shared" si="24"/>
        <v>8741</v>
      </c>
    </row>
    <row r="447" spans="1:10" x14ac:dyDescent="0.2">
      <c r="A447">
        <v>4</v>
      </c>
      <c r="B447" s="15" t="s">
        <v>412</v>
      </c>
      <c r="C447" t="s">
        <v>399</v>
      </c>
      <c r="D447" t="s">
        <v>401</v>
      </c>
      <c r="E447" s="17" t="s">
        <v>375</v>
      </c>
      <c r="F447" s="17">
        <v>115673</v>
      </c>
      <c r="G447" s="17">
        <v>115658</v>
      </c>
      <c r="H447">
        <f t="shared" si="23"/>
        <v>15</v>
      </c>
      <c r="I447">
        <v>41</v>
      </c>
      <c r="J447">
        <f t="shared" si="24"/>
        <v>8521</v>
      </c>
    </row>
    <row r="448" spans="1:10" x14ac:dyDescent="0.2">
      <c r="A448">
        <v>4</v>
      </c>
      <c r="B448" s="15" t="s">
        <v>412</v>
      </c>
      <c r="C448" t="s">
        <v>399</v>
      </c>
      <c r="D448" t="s">
        <v>401</v>
      </c>
      <c r="E448" s="17" t="s">
        <v>376</v>
      </c>
      <c r="F448" s="17">
        <v>124366</v>
      </c>
      <c r="G448" s="17">
        <v>124350</v>
      </c>
      <c r="H448">
        <f t="shared" si="23"/>
        <v>16</v>
      </c>
      <c r="I448">
        <v>41</v>
      </c>
      <c r="J448">
        <f t="shared" si="24"/>
        <v>8693</v>
      </c>
    </row>
    <row r="449" spans="1:10" x14ac:dyDescent="0.2">
      <c r="A449">
        <v>4</v>
      </c>
      <c r="B449" s="15" t="s">
        <v>412</v>
      </c>
      <c r="C449" t="s">
        <v>399</v>
      </c>
      <c r="D449" t="s">
        <v>401</v>
      </c>
      <c r="E449" s="17" t="s">
        <v>377</v>
      </c>
      <c r="F449" s="17">
        <v>133265</v>
      </c>
      <c r="G449" s="17">
        <v>133247</v>
      </c>
      <c r="H449">
        <f t="shared" si="23"/>
        <v>18</v>
      </c>
      <c r="I449">
        <v>41</v>
      </c>
      <c r="J449">
        <f t="shared" si="24"/>
        <v>8899</v>
      </c>
    </row>
    <row r="450" spans="1:10" x14ac:dyDescent="0.2">
      <c r="A450">
        <v>4</v>
      </c>
      <c r="B450" s="15" t="s">
        <v>412</v>
      </c>
      <c r="C450" t="s">
        <v>399</v>
      </c>
      <c r="D450" t="s">
        <v>401</v>
      </c>
      <c r="E450" s="17" t="s">
        <v>378</v>
      </c>
      <c r="F450" s="17">
        <v>141834</v>
      </c>
      <c r="G450" s="17">
        <v>141821</v>
      </c>
      <c r="H450">
        <f t="shared" si="23"/>
        <v>13</v>
      </c>
      <c r="I450">
        <v>41</v>
      </c>
      <c r="J450">
        <f t="shared" si="24"/>
        <v>8569</v>
      </c>
    </row>
    <row r="451" spans="1:10" x14ac:dyDescent="0.2">
      <c r="A451">
        <v>4</v>
      </c>
      <c r="B451" s="15" t="s">
        <v>412</v>
      </c>
      <c r="C451" t="s">
        <v>399</v>
      </c>
      <c r="D451" t="s">
        <v>401</v>
      </c>
      <c r="E451" s="17" t="s">
        <v>384</v>
      </c>
      <c r="F451" s="17">
        <v>150571</v>
      </c>
      <c r="G451" s="17">
        <v>150554</v>
      </c>
      <c r="H451">
        <f t="shared" si="23"/>
        <v>17</v>
      </c>
      <c r="I451">
        <v>41</v>
      </c>
      <c r="J451">
        <f t="shared" si="24"/>
        <v>8737</v>
      </c>
    </row>
    <row r="452" spans="1:10" x14ac:dyDescent="0.2">
      <c r="A452">
        <v>4</v>
      </c>
      <c r="B452" s="15" t="s">
        <v>412</v>
      </c>
      <c r="C452" t="s">
        <v>399</v>
      </c>
      <c r="D452" t="s">
        <v>401</v>
      </c>
      <c r="E452" s="17" t="s">
        <v>385</v>
      </c>
      <c r="F452" s="17">
        <v>159062</v>
      </c>
      <c r="G452" s="17">
        <v>159049</v>
      </c>
      <c r="H452">
        <f t="shared" si="23"/>
        <v>13</v>
      </c>
      <c r="I452">
        <v>41</v>
      </c>
      <c r="J452">
        <f t="shared" si="24"/>
        <v>8491</v>
      </c>
    </row>
    <row r="453" spans="1:10" x14ac:dyDescent="0.2">
      <c r="A453">
        <v>4</v>
      </c>
      <c r="B453" s="15" t="s">
        <v>412</v>
      </c>
      <c r="C453" t="s">
        <v>399</v>
      </c>
      <c r="D453" t="s">
        <v>401</v>
      </c>
      <c r="E453" s="17" t="s">
        <v>386</v>
      </c>
      <c r="F453" s="17">
        <v>167749</v>
      </c>
      <c r="G453" s="17">
        <v>167730</v>
      </c>
      <c r="H453">
        <f t="shared" si="23"/>
        <v>19</v>
      </c>
      <c r="I453">
        <v>41</v>
      </c>
      <c r="J453">
        <f t="shared" si="24"/>
        <v>8687</v>
      </c>
    </row>
    <row r="454" spans="1:10" x14ac:dyDescent="0.2">
      <c r="A454">
        <v>4</v>
      </c>
      <c r="B454" s="15" t="s">
        <v>412</v>
      </c>
      <c r="C454" t="s">
        <v>399</v>
      </c>
      <c r="D454" t="s">
        <v>401</v>
      </c>
      <c r="E454" s="17" t="s">
        <v>387</v>
      </c>
      <c r="F454" s="17">
        <v>176219</v>
      </c>
      <c r="G454" s="17">
        <v>176201</v>
      </c>
      <c r="H454">
        <f t="shared" si="23"/>
        <v>18</v>
      </c>
      <c r="I454">
        <v>41</v>
      </c>
      <c r="J454">
        <f t="shared" si="24"/>
        <v>8470</v>
      </c>
    </row>
    <row r="455" spans="1:10" x14ac:dyDescent="0.2">
      <c r="A455">
        <v>4</v>
      </c>
      <c r="B455" s="15" t="s">
        <v>412</v>
      </c>
      <c r="C455" t="s">
        <v>399</v>
      </c>
      <c r="D455" t="s">
        <v>401</v>
      </c>
      <c r="E455" s="17" t="s">
        <v>388</v>
      </c>
      <c r="F455" s="17">
        <v>184851</v>
      </c>
      <c r="G455" s="17">
        <v>184838</v>
      </c>
      <c r="H455">
        <f t="shared" si="23"/>
        <v>13</v>
      </c>
      <c r="I455">
        <v>41</v>
      </c>
      <c r="J455">
        <f t="shared" si="24"/>
        <v>8632</v>
      </c>
    </row>
    <row r="456" spans="1:10" x14ac:dyDescent="0.2">
      <c r="A456">
        <v>4</v>
      </c>
      <c r="B456" s="15" t="s">
        <v>412</v>
      </c>
      <c r="C456" t="s">
        <v>399</v>
      </c>
      <c r="D456" t="s">
        <v>401</v>
      </c>
      <c r="E456" s="17" t="s">
        <v>389</v>
      </c>
      <c r="F456" s="17">
        <v>193500</v>
      </c>
      <c r="G456" s="17">
        <v>193484</v>
      </c>
      <c r="H456">
        <f t="shared" si="23"/>
        <v>16</v>
      </c>
      <c r="I456">
        <v>41</v>
      </c>
      <c r="J456">
        <f t="shared" si="24"/>
        <v>8649</v>
      </c>
    </row>
    <row r="457" spans="1:10" x14ac:dyDescent="0.2">
      <c r="A457">
        <v>4</v>
      </c>
      <c r="B457" s="15" t="s">
        <v>412</v>
      </c>
      <c r="C457" t="s">
        <v>399</v>
      </c>
      <c r="D457" t="s">
        <v>401</v>
      </c>
      <c r="E457" s="17" t="s">
        <v>390</v>
      </c>
      <c r="F457" s="17">
        <v>202249</v>
      </c>
      <c r="G457" s="17">
        <v>202234</v>
      </c>
      <c r="H457">
        <f t="shared" si="23"/>
        <v>15</v>
      </c>
      <c r="I457">
        <v>41</v>
      </c>
      <c r="J457">
        <f t="shared" si="24"/>
        <v>8749</v>
      </c>
    </row>
    <row r="458" spans="1:10" x14ac:dyDescent="0.2">
      <c r="A458">
        <v>4</v>
      </c>
      <c r="B458" s="15" t="s">
        <v>412</v>
      </c>
      <c r="C458" t="s">
        <v>399</v>
      </c>
      <c r="D458" t="s">
        <v>401</v>
      </c>
      <c r="E458" s="17" t="s">
        <v>391</v>
      </c>
      <c r="F458" s="17">
        <v>210763</v>
      </c>
      <c r="G458" s="17">
        <v>210750</v>
      </c>
      <c r="H458">
        <f t="shared" si="23"/>
        <v>13</v>
      </c>
      <c r="I458">
        <v>41</v>
      </c>
      <c r="J458">
        <f t="shared" si="24"/>
        <v>8514</v>
      </c>
    </row>
    <row r="459" spans="1:10" x14ac:dyDescent="0.2">
      <c r="A459">
        <v>4</v>
      </c>
      <c r="B459" s="15" t="s">
        <v>412</v>
      </c>
      <c r="C459" t="s">
        <v>399</v>
      </c>
      <c r="D459" t="s">
        <v>401</v>
      </c>
      <c r="E459" s="17" t="s">
        <v>392</v>
      </c>
      <c r="F459" s="17">
        <v>219459</v>
      </c>
      <c r="G459" s="17">
        <v>219440</v>
      </c>
      <c r="H459">
        <f t="shared" si="23"/>
        <v>19</v>
      </c>
      <c r="I459">
        <v>41</v>
      </c>
      <c r="J459">
        <f t="shared" si="24"/>
        <v>8696</v>
      </c>
    </row>
    <row r="460" spans="1:10" x14ac:dyDescent="0.2">
      <c r="A460">
        <v>4</v>
      </c>
      <c r="B460" s="15" t="s">
        <v>412</v>
      </c>
      <c r="C460" t="s">
        <v>399</v>
      </c>
      <c r="D460" t="s">
        <v>401</v>
      </c>
      <c r="E460" s="17" t="s">
        <v>393</v>
      </c>
      <c r="F460" s="17">
        <v>227950</v>
      </c>
      <c r="G460" s="17">
        <v>227934</v>
      </c>
      <c r="H460">
        <f t="shared" si="23"/>
        <v>16</v>
      </c>
      <c r="I460">
        <v>41</v>
      </c>
      <c r="J460">
        <f t="shared" si="24"/>
        <v>8491</v>
      </c>
    </row>
    <row r="461" spans="1:10" x14ac:dyDescent="0.2">
      <c r="A461">
        <v>4</v>
      </c>
      <c r="B461" s="15" t="s">
        <v>412</v>
      </c>
      <c r="C461" t="s">
        <v>399</v>
      </c>
      <c r="D461" t="s">
        <v>401</v>
      </c>
      <c r="E461" s="17" t="s">
        <v>394</v>
      </c>
      <c r="F461" s="17">
        <v>236713</v>
      </c>
      <c r="G461" s="17">
        <v>236698</v>
      </c>
      <c r="H461">
        <f t="shared" si="23"/>
        <v>15</v>
      </c>
      <c r="I461">
        <v>41</v>
      </c>
      <c r="J461">
        <f t="shared" si="24"/>
        <v>8763</v>
      </c>
    </row>
    <row r="462" spans="1:10" x14ac:dyDescent="0.2">
      <c r="A462">
        <v>4</v>
      </c>
      <c r="B462" s="15" t="s">
        <v>412</v>
      </c>
      <c r="C462" t="s">
        <v>399</v>
      </c>
      <c r="D462" t="s">
        <v>401</v>
      </c>
      <c r="E462" s="17" t="s">
        <v>395</v>
      </c>
      <c r="F462" s="17">
        <v>245300</v>
      </c>
      <c r="G462" s="17">
        <v>245287</v>
      </c>
      <c r="H462">
        <f t="shared" si="23"/>
        <v>13</v>
      </c>
      <c r="I462">
        <v>41</v>
      </c>
      <c r="J462">
        <f t="shared" si="24"/>
        <v>8587</v>
      </c>
    </row>
    <row r="463" spans="1:10" x14ac:dyDescent="0.2">
      <c r="A463">
        <v>4</v>
      </c>
      <c r="B463" s="15" t="s">
        <v>412</v>
      </c>
      <c r="C463" t="s">
        <v>399</v>
      </c>
      <c r="D463" t="s">
        <v>401</v>
      </c>
      <c r="E463" s="17" t="s">
        <v>396</v>
      </c>
      <c r="F463" s="17">
        <v>254032</v>
      </c>
      <c r="G463" s="17">
        <v>254014</v>
      </c>
      <c r="H463">
        <f t="shared" si="23"/>
        <v>18</v>
      </c>
      <c r="I463">
        <v>41</v>
      </c>
      <c r="J463">
        <f t="shared" si="24"/>
        <v>8732</v>
      </c>
    </row>
    <row r="464" spans="1:10" x14ac:dyDescent="0.2">
      <c r="A464">
        <v>4</v>
      </c>
      <c r="B464" s="15" t="s">
        <v>412</v>
      </c>
      <c r="C464" t="s">
        <v>399</v>
      </c>
      <c r="D464" t="s">
        <v>380</v>
      </c>
      <c r="E464" s="17" t="s">
        <v>362</v>
      </c>
      <c r="F464" s="17">
        <v>4375</v>
      </c>
      <c r="G464" s="17">
        <v>4386</v>
      </c>
      <c r="H464">
        <f t="shared" si="23"/>
        <v>-11</v>
      </c>
      <c r="I464">
        <v>41</v>
      </c>
    </row>
    <row r="465" spans="1:10" x14ac:dyDescent="0.2">
      <c r="A465">
        <v>4</v>
      </c>
      <c r="B465" s="15" t="s">
        <v>412</v>
      </c>
      <c r="C465" t="s">
        <v>399</v>
      </c>
      <c r="D465" t="s">
        <v>380</v>
      </c>
      <c r="E465" s="17" t="s">
        <v>363</v>
      </c>
      <c r="F465" s="17">
        <v>12789</v>
      </c>
      <c r="G465" s="17">
        <v>12801</v>
      </c>
      <c r="H465">
        <f t="shared" si="23"/>
        <v>-12</v>
      </c>
      <c r="I465">
        <v>41</v>
      </c>
      <c r="J465">
        <f t="shared" ref="J465:J493" si="25">F465-F464</f>
        <v>8414</v>
      </c>
    </row>
    <row r="466" spans="1:10" x14ac:dyDescent="0.2">
      <c r="A466">
        <v>4</v>
      </c>
      <c r="B466" s="15" t="s">
        <v>412</v>
      </c>
      <c r="C466" t="s">
        <v>399</v>
      </c>
      <c r="D466" t="s">
        <v>380</v>
      </c>
      <c r="E466" s="17" t="s">
        <v>364</v>
      </c>
      <c r="F466" s="17">
        <v>21459</v>
      </c>
      <c r="G466" s="17">
        <v>21472</v>
      </c>
      <c r="H466">
        <f t="shared" si="23"/>
        <v>-13</v>
      </c>
      <c r="I466">
        <v>41</v>
      </c>
      <c r="J466">
        <f t="shared" si="25"/>
        <v>8670</v>
      </c>
    </row>
    <row r="467" spans="1:10" x14ac:dyDescent="0.2">
      <c r="A467">
        <v>4</v>
      </c>
      <c r="B467" s="15" t="s">
        <v>412</v>
      </c>
      <c r="C467" t="s">
        <v>399</v>
      </c>
      <c r="D467" t="s">
        <v>380</v>
      </c>
      <c r="E467" s="17" t="s">
        <v>365</v>
      </c>
      <c r="F467" s="17">
        <v>30283</v>
      </c>
      <c r="G467" s="17">
        <v>30298</v>
      </c>
      <c r="H467">
        <f t="shared" si="23"/>
        <v>-15</v>
      </c>
      <c r="I467">
        <v>41</v>
      </c>
      <c r="J467">
        <f t="shared" si="25"/>
        <v>8824</v>
      </c>
    </row>
    <row r="468" spans="1:10" x14ac:dyDescent="0.2">
      <c r="A468">
        <v>4</v>
      </c>
      <c r="B468" s="15" t="s">
        <v>412</v>
      </c>
      <c r="C468" t="s">
        <v>399</v>
      </c>
      <c r="D468" t="s">
        <v>380</v>
      </c>
      <c r="E468" s="17" t="s">
        <v>366</v>
      </c>
      <c r="F468" s="17">
        <v>38885</v>
      </c>
      <c r="G468" s="17">
        <v>38898</v>
      </c>
      <c r="H468">
        <f t="shared" si="23"/>
        <v>-13</v>
      </c>
      <c r="I468">
        <v>41</v>
      </c>
      <c r="J468">
        <f t="shared" si="25"/>
        <v>8602</v>
      </c>
    </row>
    <row r="469" spans="1:10" x14ac:dyDescent="0.2">
      <c r="A469">
        <v>4</v>
      </c>
      <c r="B469" s="15" t="s">
        <v>412</v>
      </c>
      <c r="C469" t="s">
        <v>399</v>
      </c>
      <c r="D469" t="s">
        <v>380</v>
      </c>
      <c r="E469" s="17" t="s">
        <v>367</v>
      </c>
      <c r="F469" s="17">
        <v>47635</v>
      </c>
      <c r="G469" s="17">
        <v>47650</v>
      </c>
      <c r="H469">
        <f t="shared" si="23"/>
        <v>-15</v>
      </c>
      <c r="I469">
        <v>41</v>
      </c>
      <c r="J469">
        <f t="shared" si="25"/>
        <v>8750</v>
      </c>
    </row>
    <row r="470" spans="1:10" x14ac:dyDescent="0.2">
      <c r="A470">
        <v>4</v>
      </c>
      <c r="B470" s="15" t="s">
        <v>412</v>
      </c>
      <c r="C470" t="s">
        <v>399</v>
      </c>
      <c r="D470" t="s">
        <v>380</v>
      </c>
      <c r="E470" s="17" t="s">
        <v>368</v>
      </c>
      <c r="F470" s="17">
        <v>56180</v>
      </c>
      <c r="G470" s="17">
        <v>56194</v>
      </c>
      <c r="H470">
        <f t="shared" si="23"/>
        <v>-14</v>
      </c>
      <c r="I470">
        <v>41</v>
      </c>
      <c r="J470">
        <f t="shared" si="25"/>
        <v>8545</v>
      </c>
    </row>
    <row r="471" spans="1:10" x14ac:dyDescent="0.2">
      <c r="A471">
        <v>4</v>
      </c>
      <c r="B471" s="15" t="s">
        <v>412</v>
      </c>
      <c r="C471" t="s">
        <v>399</v>
      </c>
      <c r="D471" t="s">
        <v>380</v>
      </c>
      <c r="E471" s="17" t="s">
        <v>369</v>
      </c>
      <c r="F471" s="17">
        <v>64880</v>
      </c>
      <c r="G471" s="17">
        <v>64895</v>
      </c>
      <c r="H471">
        <f t="shared" si="23"/>
        <v>-15</v>
      </c>
      <c r="I471">
        <v>41</v>
      </c>
      <c r="J471">
        <f t="shared" si="25"/>
        <v>8700</v>
      </c>
    </row>
    <row r="472" spans="1:10" x14ac:dyDescent="0.2">
      <c r="A472">
        <v>4</v>
      </c>
      <c r="B472" s="15" t="s">
        <v>412</v>
      </c>
      <c r="C472" t="s">
        <v>399</v>
      </c>
      <c r="D472" t="s">
        <v>380</v>
      </c>
      <c r="E472" s="17" t="s">
        <v>370</v>
      </c>
      <c r="F472" s="17">
        <v>73381</v>
      </c>
      <c r="G472" s="17">
        <v>73396</v>
      </c>
      <c r="H472">
        <f t="shared" si="23"/>
        <v>-15</v>
      </c>
      <c r="I472">
        <v>41</v>
      </c>
      <c r="J472">
        <f t="shared" si="25"/>
        <v>8501</v>
      </c>
    </row>
    <row r="473" spans="1:10" x14ac:dyDescent="0.2">
      <c r="A473">
        <v>4</v>
      </c>
      <c r="B473" s="15" t="s">
        <v>412</v>
      </c>
      <c r="C473" t="s">
        <v>399</v>
      </c>
      <c r="D473" t="s">
        <v>380</v>
      </c>
      <c r="E473" s="17" t="s">
        <v>371</v>
      </c>
      <c r="F473" s="17">
        <v>82017</v>
      </c>
      <c r="G473" s="17">
        <v>82031</v>
      </c>
      <c r="H473">
        <f t="shared" si="23"/>
        <v>-14</v>
      </c>
      <c r="I473">
        <v>41</v>
      </c>
      <c r="J473">
        <f t="shared" si="25"/>
        <v>8636</v>
      </c>
    </row>
    <row r="474" spans="1:10" x14ac:dyDescent="0.2">
      <c r="A474">
        <v>4</v>
      </c>
      <c r="B474" s="15" t="s">
        <v>412</v>
      </c>
      <c r="C474" t="s">
        <v>399</v>
      </c>
      <c r="D474" t="s">
        <v>380</v>
      </c>
      <c r="E474" s="17" t="s">
        <v>372</v>
      </c>
      <c r="F474" s="17">
        <v>90835</v>
      </c>
      <c r="G474" s="17">
        <v>90849</v>
      </c>
      <c r="H474">
        <f t="shared" si="23"/>
        <v>-14</v>
      </c>
      <c r="I474">
        <v>41</v>
      </c>
      <c r="J474">
        <f t="shared" si="25"/>
        <v>8818</v>
      </c>
    </row>
    <row r="475" spans="1:10" x14ac:dyDescent="0.2">
      <c r="A475">
        <v>4</v>
      </c>
      <c r="B475" s="15" t="s">
        <v>412</v>
      </c>
      <c r="C475" t="s">
        <v>399</v>
      </c>
      <c r="D475" t="s">
        <v>380</v>
      </c>
      <c r="E475" s="17" t="s">
        <v>373</v>
      </c>
      <c r="F475" s="17">
        <v>99429</v>
      </c>
      <c r="G475" s="17">
        <v>99442</v>
      </c>
      <c r="H475">
        <f t="shared" si="23"/>
        <v>-13</v>
      </c>
      <c r="I475">
        <v>41</v>
      </c>
      <c r="J475">
        <f t="shared" si="25"/>
        <v>8594</v>
      </c>
    </row>
    <row r="476" spans="1:10" x14ac:dyDescent="0.2">
      <c r="A476">
        <v>4</v>
      </c>
      <c r="B476" s="15" t="s">
        <v>412</v>
      </c>
      <c r="C476" t="s">
        <v>399</v>
      </c>
      <c r="D476" t="s">
        <v>380</v>
      </c>
      <c r="E476" s="17" t="s">
        <v>374</v>
      </c>
      <c r="F476" s="17">
        <v>108165</v>
      </c>
      <c r="G476" s="17">
        <v>108180</v>
      </c>
      <c r="H476">
        <f t="shared" si="23"/>
        <v>-15</v>
      </c>
      <c r="I476">
        <v>41</v>
      </c>
      <c r="J476">
        <f t="shared" si="25"/>
        <v>8736</v>
      </c>
    </row>
    <row r="477" spans="1:10" x14ac:dyDescent="0.2">
      <c r="A477">
        <v>4</v>
      </c>
      <c r="B477" s="15" t="s">
        <v>412</v>
      </c>
      <c r="C477" t="s">
        <v>399</v>
      </c>
      <c r="D477" t="s">
        <v>380</v>
      </c>
      <c r="E477" s="17" t="s">
        <v>375</v>
      </c>
      <c r="F477" s="17">
        <v>116682</v>
      </c>
      <c r="G477" s="17">
        <v>116696</v>
      </c>
      <c r="H477">
        <f t="shared" si="23"/>
        <v>-14</v>
      </c>
      <c r="I477">
        <v>41</v>
      </c>
      <c r="J477">
        <f t="shared" si="25"/>
        <v>8517</v>
      </c>
    </row>
    <row r="478" spans="1:10" x14ac:dyDescent="0.2">
      <c r="A478">
        <v>4</v>
      </c>
      <c r="B478" s="15" t="s">
        <v>412</v>
      </c>
      <c r="C478" t="s">
        <v>399</v>
      </c>
      <c r="D478" t="s">
        <v>380</v>
      </c>
      <c r="E478" s="17" t="s">
        <v>376</v>
      </c>
      <c r="F478" s="17">
        <v>125375</v>
      </c>
      <c r="G478" s="17">
        <v>125389</v>
      </c>
      <c r="H478">
        <f t="shared" si="23"/>
        <v>-14</v>
      </c>
      <c r="I478">
        <v>41</v>
      </c>
      <c r="J478">
        <f t="shared" si="25"/>
        <v>8693</v>
      </c>
    </row>
    <row r="479" spans="1:10" x14ac:dyDescent="0.2">
      <c r="A479">
        <v>4</v>
      </c>
      <c r="B479" s="15" t="s">
        <v>412</v>
      </c>
      <c r="C479" t="s">
        <v>399</v>
      </c>
      <c r="D479" t="s">
        <v>380</v>
      </c>
      <c r="E479" s="17" t="s">
        <v>377</v>
      </c>
      <c r="F479" s="17">
        <v>134273</v>
      </c>
      <c r="G479" s="17">
        <v>134287</v>
      </c>
      <c r="H479">
        <f t="shared" si="23"/>
        <v>-14</v>
      </c>
      <c r="I479">
        <v>41</v>
      </c>
      <c r="J479">
        <f t="shared" si="25"/>
        <v>8898</v>
      </c>
    </row>
    <row r="480" spans="1:10" x14ac:dyDescent="0.2">
      <c r="A480">
        <v>4</v>
      </c>
      <c r="B480" s="15" t="s">
        <v>412</v>
      </c>
      <c r="C480" t="s">
        <v>399</v>
      </c>
      <c r="D480" t="s">
        <v>380</v>
      </c>
      <c r="E480" s="17" t="s">
        <v>378</v>
      </c>
      <c r="F480" s="17">
        <v>142848</v>
      </c>
      <c r="G480" s="17">
        <v>142863</v>
      </c>
      <c r="H480">
        <f t="shared" si="23"/>
        <v>-15</v>
      </c>
      <c r="I480">
        <v>41</v>
      </c>
      <c r="J480">
        <f t="shared" si="25"/>
        <v>8575</v>
      </c>
    </row>
    <row r="481" spans="1:10" x14ac:dyDescent="0.2">
      <c r="A481">
        <v>4</v>
      </c>
      <c r="B481" s="15" t="s">
        <v>412</v>
      </c>
      <c r="C481" t="s">
        <v>399</v>
      </c>
      <c r="D481" t="s">
        <v>380</v>
      </c>
      <c r="E481" s="17" t="s">
        <v>384</v>
      </c>
      <c r="F481" s="17">
        <v>151571</v>
      </c>
      <c r="G481" s="17">
        <v>151580</v>
      </c>
      <c r="H481">
        <f t="shared" si="23"/>
        <v>-9</v>
      </c>
      <c r="I481">
        <v>41</v>
      </c>
      <c r="J481">
        <f t="shared" si="25"/>
        <v>8723</v>
      </c>
    </row>
    <row r="482" spans="1:10" x14ac:dyDescent="0.2">
      <c r="A482">
        <v>4</v>
      </c>
      <c r="B482" s="15" t="s">
        <v>412</v>
      </c>
      <c r="C482" t="s">
        <v>399</v>
      </c>
      <c r="D482" t="s">
        <v>380</v>
      </c>
      <c r="E482" s="17" t="s">
        <v>385</v>
      </c>
      <c r="F482" s="17">
        <v>160071</v>
      </c>
      <c r="G482" s="17">
        <v>160085</v>
      </c>
      <c r="H482">
        <f t="shared" si="23"/>
        <v>-14</v>
      </c>
      <c r="I482">
        <v>41</v>
      </c>
      <c r="J482">
        <f t="shared" si="25"/>
        <v>8500</v>
      </c>
    </row>
    <row r="483" spans="1:10" x14ac:dyDescent="0.2">
      <c r="A483">
        <v>4</v>
      </c>
      <c r="B483" s="15" t="s">
        <v>412</v>
      </c>
      <c r="C483" t="s">
        <v>399</v>
      </c>
      <c r="D483" t="s">
        <v>380</v>
      </c>
      <c r="E483" s="17" t="s">
        <v>386</v>
      </c>
      <c r="F483" s="17">
        <v>168739</v>
      </c>
      <c r="G483" s="17">
        <v>168752</v>
      </c>
      <c r="H483">
        <f t="shared" si="23"/>
        <v>-13</v>
      </c>
      <c r="I483">
        <v>41</v>
      </c>
      <c r="J483">
        <f t="shared" si="25"/>
        <v>8668</v>
      </c>
    </row>
    <row r="484" spans="1:10" x14ac:dyDescent="0.2">
      <c r="A484">
        <v>4</v>
      </c>
      <c r="B484" s="15" t="s">
        <v>412</v>
      </c>
      <c r="C484" t="s">
        <v>399</v>
      </c>
      <c r="D484" t="s">
        <v>380</v>
      </c>
      <c r="E484" s="17" t="s">
        <v>387</v>
      </c>
      <c r="F484" s="17">
        <v>177211</v>
      </c>
      <c r="G484" s="17">
        <v>177222</v>
      </c>
      <c r="H484">
        <f t="shared" si="23"/>
        <v>-11</v>
      </c>
      <c r="I484">
        <v>41</v>
      </c>
      <c r="J484">
        <f t="shared" si="25"/>
        <v>8472</v>
      </c>
    </row>
    <row r="485" spans="1:10" x14ac:dyDescent="0.2">
      <c r="A485">
        <v>4</v>
      </c>
      <c r="B485" s="15" t="s">
        <v>412</v>
      </c>
      <c r="C485" t="s">
        <v>399</v>
      </c>
      <c r="D485" t="s">
        <v>380</v>
      </c>
      <c r="E485" s="17" t="s">
        <v>388</v>
      </c>
      <c r="F485" s="17">
        <v>185860</v>
      </c>
      <c r="G485" s="17">
        <v>185872</v>
      </c>
      <c r="H485">
        <f t="shared" si="23"/>
        <v>-12</v>
      </c>
      <c r="I485">
        <v>41</v>
      </c>
      <c r="J485">
        <f t="shared" si="25"/>
        <v>8649</v>
      </c>
    </row>
    <row r="486" spans="1:10" x14ac:dyDescent="0.2">
      <c r="A486">
        <v>4</v>
      </c>
      <c r="B486" s="15" t="s">
        <v>412</v>
      </c>
      <c r="C486" t="s">
        <v>399</v>
      </c>
      <c r="D486" t="s">
        <v>380</v>
      </c>
      <c r="E486" s="17" t="s">
        <v>389</v>
      </c>
      <c r="F486" s="17">
        <v>194501</v>
      </c>
      <c r="G486" s="17">
        <v>194510</v>
      </c>
      <c r="H486">
        <f t="shared" si="23"/>
        <v>-9</v>
      </c>
      <c r="I486">
        <v>41</v>
      </c>
      <c r="J486">
        <f t="shared" si="25"/>
        <v>8641</v>
      </c>
    </row>
    <row r="487" spans="1:10" x14ac:dyDescent="0.2">
      <c r="A487">
        <v>4</v>
      </c>
      <c r="B487" s="15" t="s">
        <v>412</v>
      </c>
      <c r="C487" t="s">
        <v>399</v>
      </c>
      <c r="D487" t="s">
        <v>380</v>
      </c>
      <c r="E487" s="17" t="s">
        <v>390</v>
      </c>
      <c r="F487" s="17">
        <v>203258</v>
      </c>
      <c r="G487" s="17">
        <v>203270</v>
      </c>
      <c r="H487">
        <f t="shared" si="23"/>
        <v>-12</v>
      </c>
      <c r="I487">
        <v>41</v>
      </c>
      <c r="J487">
        <f t="shared" si="25"/>
        <v>8757</v>
      </c>
    </row>
    <row r="488" spans="1:10" x14ac:dyDescent="0.2">
      <c r="A488">
        <v>4</v>
      </c>
      <c r="B488" s="15" t="s">
        <v>412</v>
      </c>
      <c r="C488" t="s">
        <v>399</v>
      </c>
      <c r="D488" t="s">
        <v>380</v>
      </c>
      <c r="E488" s="17" t="s">
        <v>391</v>
      </c>
      <c r="F488" s="17">
        <v>211779</v>
      </c>
      <c r="G488" s="17">
        <v>211796</v>
      </c>
      <c r="H488">
        <f t="shared" si="23"/>
        <v>-17</v>
      </c>
      <c r="I488">
        <v>41</v>
      </c>
      <c r="J488">
        <f t="shared" si="25"/>
        <v>8521</v>
      </c>
    </row>
    <row r="489" spans="1:10" x14ac:dyDescent="0.2">
      <c r="A489">
        <v>4</v>
      </c>
      <c r="B489" s="15" t="s">
        <v>412</v>
      </c>
      <c r="C489" t="s">
        <v>399</v>
      </c>
      <c r="D489" t="s">
        <v>380</v>
      </c>
      <c r="E489" s="17" t="s">
        <v>392</v>
      </c>
      <c r="F489" s="17">
        <v>220462</v>
      </c>
      <c r="G489" s="17">
        <v>220476</v>
      </c>
      <c r="H489">
        <f t="shared" si="23"/>
        <v>-14</v>
      </c>
      <c r="I489">
        <v>41</v>
      </c>
      <c r="J489">
        <f t="shared" si="25"/>
        <v>8683</v>
      </c>
    </row>
    <row r="490" spans="1:10" x14ac:dyDescent="0.2">
      <c r="A490">
        <v>4</v>
      </c>
      <c r="B490" s="15" t="s">
        <v>412</v>
      </c>
      <c r="C490" t="s">
        <v>399</v>
      </c>
      <c r="D490" t="s">
        <v>380</v>
      </c>
      <c r="E490" s="17" t="s">
        <v>393</v>
      </c>
      <c r="F490" s="17">
        <v>228947</v>
      </c>
      <c r="G490" s="17">
        <v>228961</v>
      </c>
      <c r="H490">
        <f t="shared" si="23"/>
        <v>-14</v>
      </c>
      <c r="I490">
        <v>41</v>
      </c>
      <c r="J490">
        <f t="shared" si="25"/>
        <v>8485</v>
      </c>
    </row>
    <row r="491" spans="1:10" x14ac:dyDescent="0.2">
      <c r="A491">
        <v>4</v>
      </c>
      <c r="B491" s="15" t="s">
        <v>412</v>
      </c>
      <c r="C491" t="s">
        <v>399</v>
      </c>
      <c r="D491" t="s">
        <v>380</v>
      </c>
      <c r="E491" s="17" t="s">
        <v>394</v>
      </c>
      <c r="F491" s="17">
        <v>237710</v>
      </c>
      <c r="G491" s="17">
        <v>237725</v>
      </c>
      <c r="H491">
        <f t="shared" si="23"/>
        <v>-15</v>
      </c>
      <c r="I491">
        <v>41</v>
      </c>
      <c r="J491">
        <f t="shared" si="25"/>
        <v>8763</v>
      </c>
    </row>
    <row r="492" spans="1:10" x14ac:dyDescent="0.2">
      <c r="A492">
        <v>4</v>
      </c>
      <c r="B492" s="15" t="s">
        <v>412</v>
      </c>
      <c r="C492" t="s">
        <v>399</v>
      </c>
      <c r="D492" t="s">
        <v>380</v>
      </c>
      <c r="E492" s="17" t="s">
        <v>395</v>
      </c>
      <c r="F492" s="17">
        <v>246306</v>
      </c>
      <c r="G492" s="17">
        <v>246318</v>
      </c>
      <c r="H492">
        <f t="shared" si="23"/>
        <v>-12</v>
      </c>
      <c r="I492">
        <v>41</v>
      </c>
      <c r="J492">
        <f t="shared" si="25"/>
        <v>8596</v>
      </c>
    </row>
    <row r="493" spans="1:10" x14ac:dyDescent="0.2">
      <c r="A493">
        <v>4</v>
      </c>
      <c r="B493" s="15" t="s">
        <v>412</v>
      </c>
      <c r="C493" t="s">
        <v>399</v>
      </c>
      <c r="D493" t="s">
        <v>380</v>
      </c>
      <c r="E493" s="17" t="s">
        <v>396</v>
      </c>
      <c r="F493" s="17">
        <v>255036</v>
      </c>
      <c r="G493" s="17">
        <v>255050</v>
      </c>
      <c r="H493">
        <f t="shared" si="23"/>
        <v>-14</v>
      </c>
      <c r="I493">
        <v>41</v>
      </c>
      <c r="J493">
        <f t="shared" si="25"/>
        <v>8730</v>
      </c>
    </row>
    <row r="494" spans="1:10" x14ac:dyDescent="0.2">
      <c r="A494">
        <v>5</v>
      </c>
      <c r="B494" s="15" t="s">
        <v>418</v>
      </c>
      <c r="C494" t="s">
        <v>399</v>
      </c>
      <c r="D494" t="s">
        <v>401</v>
      </c>
      <c r="E494" s="17" t="s">
        <v>362</v>
      </c>
      <c r="H494">
        <f>F494-G494</f>
        <v>0</v>
      </c>
      <c r="I494">
        <v>101</v>
      </c>
    </row>
    <row r="495" spans="1:10" x14ac:dyDescent="0.2">
      <c r="A495">
        <v>5</v>
      </c>
      <c r="B495" s="15" t="s">
        <v>418</v>
      </c>
      <c r="C495" t="s">
        <v>399</v>
      </c>
      <c r="D495" t="s">
        <v>401</v>
      </c>
      <c r="E495" s="17" t="s">
        <v>363</v>
      </c>
      <c r="H495">
        <f>F495-G495</f>
        <v>0</v>
      </c>
      <c r="I495">
        <v>101</v>
      </c>
      <c r="J495">
        <f t="shared" ref="J495:J523" si="26">F495-F494</f>
        <v>0</v>
      </c>
    </row>
    <row r="496" spans="1:10" x14ac:dyDescent="0.2">
      <c r="A496">
        <v>5</v>
      </c>
      <c r="B496" s="15" t="s">
        <v>418</v>
      </c>
      <c r="C496" t="s">
        <v>399</v>
      </c>
      <c r="D496" t="s">
        <v>401</v>
      </c>
      <c r="E496" s="17" t="s">
        <v>364</v>
      </c>
      <c r="H496">
        <f>F496-G496</f>
        <v>0</v>
      </c>
      <c r="I496">
        <v>101</v>
      </c>
      <c r="J496">
        <f t="shared" si="26"/>
        <v>0</v>
      </c>
    </row>
    <row r="497" spans="1:10" x14ac:dyDescent="0.2">
      <c r="A497">
        <v>5</v>
      </c>
      <c r="B497" s="15" t="s">
        <v>418</v>
      </c>
      <c r="C497" t="s">
        <v>399</v>
      </c>
      <c r="D497" t="s">
        <v>401</v>
      </c>
      <c r="E497" s="17" t="s">
        <v>365</v>
      </c>
      <c r="H497">
        <f t="shared" ref="H497:H560" si="27">F497-G497</f>
        <v>0</v>
      </c>
      <c r="I497">
        <v>101</v>
      </c>
      <c r="J497">
        <f t="shared" si="26"/>
        <v>0</v>
      </c>
    </row>
    <row r="498" spans="1:10" x14ac:dyDescent="0.2">
      <c r="A498">
        <v>5</v>
      </c>
      <c r="B498" s="15" t="s">
        <v>418</v>
      </c>
      <c r="C498" t="s">
        <v>399</v>
      </c>
      <c r="D498" t="s">
        <v>401</v>
      </c>
      <c r="E498" s="17" t="s">
        <v>366</v>
      </c>
      <c r="H498">
        <f t="shared" si="27"/>
        <v>0</v>
      </c>
      <c r="I498">
        <v>101</v>
      </c>
      <c r="J498">
        <f t="shared" si="26"/>
        <v>0</v>
      </c>
    </row>
    <row r="499" spans="1:10" x14ac:dyDescent="0.2">
      <c r="A499">
        <v>5</v>
      </c>
      <c r="B499" s="15" t="s">
        <v>418</v>
      </c>
      <c r="C499" t="s">
        <v>399</v>
      </c>
      <c r="D499" t="s">
        <v>401</v>
      </c>
      <c r="E499" s="17" t="s">
        <v>367</v>
      </c>
      <c r="H499">
        <f t="shared" si="27"/>
        <v>0</v>
      </c>
      <c r="I499">
        <v>101</v>
      </c>
      <c r="J499">
        <f t="shared" si="26"/>
        <v>0</v>
      </c>
    </row>
    <row r="500" spans="1:10" x14ac:dyDescent="0.2">
      <c r="A500">
        <v>5</v>
      </c>
      <c r="B500" s="15" t="s">
        <v>418</v>
      </c>
      <c r="C500" t="s">
        <v>399</v>
      </c>
      <c r="D500" t="s">
        <v>401</v>
      </c>
      <c r="E500" s="17" t="s">
        <v>368</v>
      </c>
      <c r="H500">
        <f t="shared" si="27"/>
        <v>0</v>
      </c>
      <c r="I500">
        <v>101</v>
      </c>
      <c r="J500">
        <f t="shared" si="26"/>
        <v>0</v>
      </c>
    </row>
    <row r="501" spans="1:10" x14ac:dyDescent="0.2">
      <c r="A501">
        <v>5</v>
      </c>
      <c r="B501" s="15" t="s">
        <v>418</v>
      </c>
      <c r="C501" t="s">
        <v>399</v>
      </c>
      <c r="D501" t="s">
        <v>401</v>
      </c>
      <c r="E501" s="17" t="s">
        <v>369</v>
      </c>
      <c r="H501">
        <f t="shared" si="27"/>
        <v>0</v>
      </c>
      <c r="I501">
        <v>101</v>
      </c>
      <c r="J501">
        <f t="shared" si="26"/>
        <v>0</v>
      </c>
    </row>
    <row r="502" spans="1:10" x14ac:dyDescent="0.2">
      <c r="A502">
        <v>5</v>
      </c>
      <c r="B502" s="15" t="s">
        <v>418</v>
      </c>
      <c r="C502" t="s">
        <v>399</v>
      </c>
      <c r="D502" t="s">
        <v>401</v>
      </c>
      <c r="E502" s="17" t="s">
        <v>370</v>
      </c>
      <c r="H502">
        <f t="shared" si="27"/>
        <v>0</v>
      </c>
      <c r="I502">
        <v>101</v>
      </c>
      <c r="J502">
        <f t="shared" si="26"/>
        <v>0</v>
      </c>
    </row>
    <row r="503" spans="1:10" x14ac:dyDescent="0.2">
      <c r="A503">
        <v>5</v>
      </c>
      <c r="B503" s="15" t="s">
        <v>418</v>
      </c>
      <c r="C503" t="s">
        <v>399</v>
      </c>
      <c r="D503" t="s">
        <v>401</v>
      </c>
      <c r="E503" s="17" t="s">
        <v>371</v>
      </c>
      <c r="H503">
        <f t="shared" si="27"/>
        <v>0</v>
      </c>
      <c r="I503">
        <v>101</v>
      </c>
      <c r="J503">
        <f t="shared" si="26"/>
        <v>0</v>
      </c>
    </row>
    <row r="504" spans="1:10" x14ac:dyDescent="0.2">
      <c r="A504">
        <v>5</v>
      </c>
      <c r="B504" s="15" t="s">
        <v>418</v>
      </c>
      <c r="C504" t="s">
        <v>399</v>
      </c>
      <c r="D504" t="s">
        <v>401</v>
      </c>
      <c r="E504" s="17" t="s">
        <v>372</v>
      </c>
      <c r="H504">
        <f t="shared" si="27"/>
        <v>0</v>
      </c>
      <c r="I504">
        <v>101</v>
      </c>
      <c r="J504">
        <f t="shared" si="26"/>
        <v>0</v>
      </c>
    </row>
    <row r="505" spans="1:10" x14ac:dyDescent="0.2">
      <c r="A505">
        <v>5</v>
      </c>
      <c r="B505" s="15" t="s">
        <v>418</v>
      </c>
      <c r="C505" t="s">
        <v>399</v>
      </c>
      <c r="D505" t="s">
        <v>401</v>
      </c>
      <c r="E505" s="17" t="s">
        <v>373</v>
      </c>
      <c r="H505">
        <f t="shared" si="27"/>
        <v>0</v>
      </c>
      <c r="I505">
        <v>101</v>
      </c>
      <c r="J505">
        <f t="shared" si="26"/>
        <v>0</v>
      </c>
    </row>
    <row r="506" spans="1:10" x14ac:dyDescent="0.2">
      <c r="A506">
        <v>5</v>
      </c>
      <c r="B506" s="15" t="s">
        <v>418</v>
      </c>
      <c r="C506" t="s">
        <v>399</v>
      </c>
      <c r="D506" t="s">
        <v>401</v>
      </c>
      <c r="E506" s="17" t="s">
        <v>374</v>
      </c>
      <c r="H506">
        <f t="shared" si="27"/>
        <v>0</v>
      </c>
      <c r="I506">
        <v>101</v>
      </c>
      <c r="J506">
        <f t="shared" si="26"/>
        <v>0</v>
      </c>
    </row>
    <row r="507" spans="1:10" x14ac:dyDescent="0.2">
      <c r="A507">
        <v>5</v>
      </c>
      <c r="B507" s="15" t="s">
        <v>418</v>
      </c>
      <c r="C507" t="s">
        <v>399</v>
      </c>
      <c r="D507" t="s">
        <v>401</v>
      </c>
      <c r="E507" s="17" t="s">
        <v>375</v>
      </c>
      <c r="H507">
        <f t="shared" si="27"/>
        <v>0</v>
      </c>
      <c r="I507">
        <v>101</v>
      </c>
      <c r="J507">
        <f t="shared" si="26"/>
        <v>0</v>
      </c>
    </row>
    <row r="508" spans="1:10" x14ac:dyDescent="0.2">
      <c r="A508">
        <v>5</v>
      </c>
      <c r="B508" s="15" t="s">
        <v>418</v>
      </c>
      <c r="C508" t="s">
        <v>399</v>
      </c>
      <c r="D508" t="s">
        <v>401</v>
      </c>
      <c r="E508" s="17" t="s">
        <v>376</v>
      </c>
      <c r="H508">
        <f t="shared" si="27"/>
        <v>0</v>
      </c>
      <c r="I508">
        <v>101</v>
      </c>
      <c r="J508">
        <f t="shared" si="26"/>
        <v>0</v>
      </c>
    </row>
    <row r="509" spans="1:10" x14ac:dyDescent="0.2">
      <c r="A509">
        <v>5</v>
      </c>
      <c r="B509" s="15" t="s">
        <v>418</v>
      </c>
      <c r="C509" t="s">
        <v>399</v>
      </c>
      <c r="D509" t="s">
        <v>401</v>
      </c>
      <c r="E509" s="17" t="s">
        <v>377</v>
      </c>
      <c r="H509">
        <f t="shared" si="27"/>
        <v>0</v>
      </c>
      <c r="I509">
        <v>101</v>
      </c>
      <c r="J509">
        <f t="shared" si="26"/>
        <v>0</v>
      </c>
    </row>
    <row r="510" spans="1:10" x14ac:dyDescent="0.2">
      <c r="A510">
        <v>5</v>
      </c>
      <c r="B510" s="15" t="s">
        <v>418</v>
      </c>
      <c r="C510" t="s">
        <v>399</v>
      </c>
      <c r="D510" t="s">
        <v>401</v>
      </c>
      <c r="E510" s="17" t="s">
        <v>378</v>
      </c>
      <c r="H510">
        <f t="shared" si="27"/>
        <v>0</v>
      </c>
      <c r="I510">
        <v>101</v>
      </c>
      <c r="J510">
        <f t="shared" si="26"/>
        <v>0</v>
      </c>
    </row>
    <row r="511" spans="1:10" x14ac:dyDescent="0.2">
      <c r="A511">
        <v>5</v>
      </c>
      <c r="B511" s="15" t="s">
        <v>418</v>
      </c>
      <c r="C511" t="s">
        <v>399</v>
      </c>
      <c r="D511" t="s">
        <v>401</v>
      </c>
      <c r="E511" s="17" t="s">
        <v>384</v>
      </c>
      <c r="H511">
        <f t="shared" si="27"/>
        <v>0</v>
      </c>
      <c r="I511">
        <v>101</v>
      </c>
      <c r="J511">
        <f t="shared" si="26"/>
        <v>0</v>
      </c>
    </row>
    <row r="512" spans="1:10" x14ac:dyDescent="0.2">
      <c r="A512">
        <v>5</v>
      </c>
      <c r="B512" s="15" t="s">
        <v>418</v>
      </c>
      <c r="C512" t="s">
        <v>399</v>
      </c>
      <c r="D512" t="s">
        <v>401</v>
      </c>
      <c r="E512" s="17" t="s">
        <v>385</v>
      </c>
      <c r="H512">
        <f t="shared" si="27"/>
        <v>0</v>
      </c>
      <c r="I512">
        <v>101</v>
      </c>
      <c r="J512">
        <f t="shared" si="26"/>
        <v>0</v>
      </c>
    </row>
    <row r="513" spans="1:10" x14ac:dyDescent="0.2">
      <c r="A513">
        <v>5</v>
      </c>
      <c r="B513" s="15" t="s">
        <v>418</v>
      </c>
      <c r="C513" t="s">
        <v>399</v>
      </c>
      <c r="D513" t="s">
        <v>401</v>
      </c>
      <c r="E513" s="17" t="s">
        <v>386</v>
      </c>
      <c r="H513">
        <f t="shared" si="27"/>
        <v>0</v>
      </c>
      <c r="I513">
        <v>101</v>
      </c>
      <c r="J513">
        <f t="shared" si="26"/>
        <v>0</v>
      </c>
    </row>
    <row r="514" spans="1:10" x14ac:dyDescent="0.2">
      <c r="A514">
        <v>5</v>
      </c>
      <c r="B514" s="15" t="s">
        <v>418</v>
      </c>
      <c r="C514" t="s">
        <v>399</v>
      </c>
      <c r="D514" t="s">
        <v>401</v>
      </c>
      <c r="E514" s="17" t="s">
        <v>387</v>
      </c>
      <c r="H514">
        <f t="shared" si="27"/>
        <v>0</v>
      </c>
      <c r="I514">
        <v>101</v>
      </c>
      <c r="J514">
        <f t="shared" si="26"/>
        <v>0</v>
      </c>
    </row>
    <row r="515" spans="1:10" x14ac:dyDescent="0.2">
      <c r="A515">
        <v>5</v>
      </c>
      <c r="B515" s="15" t="s">
        <v>418</v>
      </c>
      <c r="C515" t="s">
        <v>399</v>
      </c>
      <c r="D515" t="s">
        <v>401</v>
      </c>
      <c r="E515" s="17" t="s">
        <v>388</v>
      </c>
      <c r="H515">
        <f t="shared" si="27"/>
        <v>0</v>
      </c>
      <c r="I515">
        <v>101</v>
      </c>
      <c r="J515">
        <f t="shared" si="26"/>
        <v>0</v>
      </c>
    </row>
    <row r="516" spans="1:10" x14ac:dyDescent="0.2">
      <c r="A516">
        <v>5</v>
      </c>
      <c r="B516" s="15" t="s">
        <v>418</v>
      </c>
      <c r="C516" t="s">
        <v>399</v>
      </c>
      <c r="D516" t="s">
        <v>401</v>
      </c>
      <c r="E516" s="17" t="s">
        <v>389</v>
      </c>
      <c r="H516">
        <f t="shared" si="27"/>
        <v>0</v>
      </c>
      <c r="I516">
        <v>101</v>
      </c>
      <c r="J516">
        <f t="shared" si="26"/>
        <v>0</v>
      </c>
    </row>
    <row r="517" spans="1:10" x14ac:dyDescent="0.2">
      <c r="A517">
        <v>5</v>
      </c>
      <c r="B517" s="15" t="s">
        <v>418</v>
      </c>
      <c r="C517" t="s">
        <v>399</v>
      </c>
      <c r="D517" t="s">
        <v>401</v>
      </c>
      <c r="E517" s="17" t="s">
        <v>390</v>
      </c>
      <c r="H517">
        <f t="shared" si="27"/>
        <v>0</v>
      </c>
      <c r="I517">
        <v>101</v>
      </c>
      <c r="J517">
        <f t="shared" si="26"/>
        <v>0</v>
      </c>
    </row>
    <row r="518" spans="1:10" x14ac:dyDescent="0.2">
      <c r="A518">
        <v>5</v>
      </c>
      <c r="B518" s="15" t="s">
        <v>418</v>
      </c>
      <c r="C518" t="s">
        <v>399</v>
      </c>
      <c r="D518" t="s">
        <v>401</v>
      </c>
      <c r="E518" s="17" t="s">
        <v>391</v>
      </c>
      <c r="H518">
        <f t="shared" si="27"/>
        <v>0</v>
      </c>
      <c r="I518">
        <v>101</v>
      </c>
      <c r="J518">
        <f t="shared" si="26"/>
        <v>0</v>
      </c>
    </row>
    <row r="519" spans="1:10" x14ac:dyDescent="0.2">
      <c r="A519">
        <v>5</v>
      </c>
      <c r="B519" s="15" t="s">
        <v>418</v>
      </c>
      <c r="C519" t="s">
        <v>399</v>
      </c>
      <c r="D519" t="s">
        <v>401</v>
      </c>
      <c r="E519" s="17" t="s">
        <v>392</v>
      </c>
      <c r="H519">
        <f t="shared" si="27"/>
        <v>0</v>
      </c>
      <c r="I519">
        <v>101</v>
      </c>
      <c r="J519">
        <f t="shared" si="26"/>
        <v>0</v>
      </c>
    </row>
    <row r="520" spans="1:10" x14ac:dyDescent="0.2">
      <c r="A520">
        <v>5</v>
      </c>
      <c r="B520" s="15" t="s">
        <v>418</v>
      </c>
      <c r="C520" t="s">
        <v>399</v>
      </c>
      <c r="D520" t="s">
        <v>401</v>
      </c>
      <c r="E520" s="17" t="s">
        <v>393</v>
      </c>
      <c r="H520">
        <f t="shared" si="27"/>
        <v>0</v>
      </c>
      <c r="I520">
        <v>101</v>
      </c>
      <c r="J520">
        <f t="shared" si="26"/>
        <v>0</v>
      </c>
    </row>
    <row r="521" spans="1:10" x14ac:dyDescent="0.2">
      <c r="A521">
        <v>5</v>
      </c>
      <c r="B521" s="15" t="s">
        <v>418</v>
      </c>
      <c r="C521" t="s">
        <v>399</v>
      </c>
      <c r="D521" t="s">
        <v>401</v>
      </c>
      <c r="E521" s="17" t="s">
        <v>394</v>
      </c>
      <c r="H521">
        <f t="shared" si="27"/>
        <v>0</v>
      </c>
      <c r="I521">
        <v>101</v>
      </c>
      <c r="J521">
        <f t="shared" si="26"/>
        <v>0</v>
      </c>
    </row>
    <row r="522" spans="1:10" x14ac:dyDescent="0.2">
      <c r="A522">
        <v>5</v>
      </c>
      <c r="B522" s="15" t="s">
        <v>418</v>
      </c>
      <c r="C522" t="s">
        <v>399</v>
      </c>
      <c r="D522" t="s">
        <v>401</v>
      </c>
      <c r="E522" s="17" t="s">
        <v>395</v>
      </c>
      <c r="H522">
        <f t="shared" si="27"/>
        <v>0</v>
      </c>
      <c r="I522">
        <v>101</v>
      </c>
      <c r="J522">
        <f t="shared" si="26"/>
        <v>0</v>
      </c>
    </row>
    <row r="523" spans="1:10" x14ac:dyDescent="0.2">
      <c r="A523">
        <v>5</v>
      </c>
      <c r="B523" s="15" t="s">
        <v>418</v>
      </c>
      <c r="C523" t="s">
        <v>399</v>
      </c>
      <c r="D523" t="s">
        <v>401</v>
      </c>
      <c r="E523" s="17" t="s">
        <v>396</v>
      </c>
      <c r="H523">
        <f t="shared" si="27"/>
        <v>0</v>
      </c>
      <c r="I523">
        <v>101</v>
      </c>
      <c r="J523">
        <f t="shared" si="26"/>
        <v>0</v>
      </c>
    </row>
    <row r="524" spans="1:10" x14ac:dyDescent="0.2">
      <c r="A524">
        <v>5</v>
      </c>
      <c r="B524" s="15" t="s">
        <v>418</v>
      </c>
      <c r="C524" t="s">
        <v>399</v>
      </c>
      <c r="D524" t="s">
        <v>380</v>
      </c>
      <c r="E524" s="17" t="s">
        <v>362</v>
      </c>
      <c r="H524">
        <f t="shared" si="27"/>
        <v>0</v>
      </c>
      <c r="I524">
        <v>101</v>
      </c>
    </row>
    <row r="525" spans="1:10" x14ac:dyDescent="0.2">
      <c r="A525">
        <v>5</v>
      </c>
      <c r="B525" s="15" t="s">
        <v>418</v>
      </c>
      <c r="C525" t="s">
        <v>399</v>
      </c>
      <c r="D525" t="s">
        <v>380</v>
      </c>
      <c r="E525" s="17" t="s">
        <v>363</v>
      </c>
      <c r="H525">
        <f t="shared" si="27"/>
        <v>0</v>
      </c>
      <c r="I525">
        <v>101</v>
      </c>
      <c r="J525">
        <f t="shared" ref="J525:J553" si="28">F525-F524</f>
        <v>0</v>
      </c>
    </row>
    <row r="526" spans="1:10" x14ac:dyDescent="0.2">
      <c r="A526">
        <v>5</v>
      </c>
      <c r="B526" s="15" t="s">
        <v>418</v>
      </c>
      <c r="C526" t="s">
        <v>399</v>
      </c>
      <c r="D526" t="s">
        <v>380</v>
      </c>
      <c r="E526" s="17" t="s">
        <v>364</v>
      </c>
      <c r="H526">
        <f t="shared" si="27"/>
        <v>0</v>
      </c>
      <c r="I526">
        <v>101</v>
      </c>
      <c r="J526">
        <f t="shared" si="28"/>
        <v>0</v>
      </c>
    </row>
    <row r="527" spans="1:10" x14ac:dyDescent="0.2">
      <c r="A527">
        <v>5</v>
      </c>
      <c r="B527" s="15" t="s">
        <v>418</v>
      </c>
      <c r="C527" t="s">
        <v>399</v>
      </c>
      <c r="D527" t="s">
        <v>380</v>
      </c>
      <c r="E527" s="17" t="s">
        <v>365</v>
      </c>
      <c r="H527">
        <f t="shared" si="27"/>
        <v>0</v>
      </c>
      <c r="I527">
        <v>101</v>
      </c>
      <c r="J527">
        <f t="shared" si="28"/>
        <v>0</v>
      </c>
    </row>
    <row r="528" spans="1:10" x14ac:dyDescent="0.2">
      <c r="A528">
        <v>5</v>
      </c>
      <c r="B528" s="15" t="s">
        <v>418</v>
      </c>
      <c r="C528" t="s">
        <v>399</v>
      </c>
      <c r="D528" t="s">
        <v>380</v>
      </c>
      <c r="E528" s="17" t="s">
        <v>366</v>
      </c>
      <c r="H528">
        <f t="shared" si="27"/>
        <v>0</v>
      </c>
      <c r="I528">
        <v>101</v>
      </c>
      <c r="J528">
        <f t="shared" si="28"/>
        <v>0</v>
      </c>
    </row>
    <row r="529" spans="1:10" x14ac:dyDescent="0.2">
      <c r="A529">
        <v>5</v>
      </c>
      <c r="B529" s="15" t="s">
        <v>418</v>
      </c>
      <c r="C529" t="s">
        <v>399</v>
      </c>
      <c r="D529" t="s">
        <v>380</v>
      </c>
      <c r="E529" s="17" t="s">
        <v>367</v>
      </c>
      <c r="H529">
        <f t="shared" si="27"/>
        <v>0</v>
      </c>
      <c r="I529">
        <v>101</v>
      </c>
      <c r="J529">
        <f t="shared" si="28"/>
        <v>0</v>
      </c>
    </row>
    <row r="530" spans="1:10" x14ac:dyDescent="0.2">
      <c r="A530">
        <v>5</v>
      </c>
      <c r="B530" s="15" t="s">
        <v>418</v>
      </c>
      <c r="C530" t="s">
        <v>399</v>
      </c>
      <c r="D530" t="s">
        <v>380</v>
      </c>
      <c r="E530" s="17" t="s">
        <v>368</v>
      </c>
      <c r="H530">
        <f t="shared" si="27"/>
        <v>0</v>
      </c>
      <c r="I530">
        <v>101</v>
      </c>
      <c r="J530">
        <f t="shared" si="28"/>
        <v>0</v>
      </c>
    </row>
    <row r="531" spans="1:10" x14ac:dyDescent="0.2">
      <c r="A531">
        <v>5</v>
      </c>
      <c r="B531" s="15" t="s">
        <v>418</v>
      </c>
      <c r="C531" t="s">
        <v>399</v>
      </c>
      <c r="D531" t="s">
        <v>380</v>
      </c>
      <c r="E531" s="17" t="s">
        <v>369</v>
      </c>
      <c r="H531">
        <f t="shared" si="27"/>
        <v>0</v>
      </c>
      <c r="I531">
        <v>101</v>
      </c>
      <c r="J531">
        <f t="shared" si="28"/>
        <v>0</v>
      </c>
    </row>
    <row r="532" spans="1:10" x14ac:dyDescent="0.2">
      <c r="A532">
        <v>5</v>
      </c>
      <c r="B532" s="15" t="s">
        <v>418</v>
      </c>
      <c r="C532" t="s">
        <v>399</v>
      </c>
      <c r="D532" t="s">
        <v>380</v>
      </c>
      <c r="E532" s="17" t="s">
        <v>370</v>
      </c>
      <c r="H532">
        <f t="shared" si="27"/>
        <v>0</v>
      </c>
      <c r="I532">
        <v>101</v>
      </c>
      <c r="J532">
        <f t="shared" si="28"/>
        <v>0</v>
      </c>
    </row>
    <row r="533" spans="1:10" x14ac:dyDescent="0.2">
      <c r="A533">
        <v>5</v>
      </c>
      <c r="B533" s="15" t="s">
        <v>418</v>
      </c>
      <c r="C533" t="s">
        <v>399</v>
      </c>
      <c r="D533" t="s">
        <v>380</v>
      </c>
      <c r="E533" s="17" t="s">
        <v>371</v>
      </c>
      <c r="H533">
        <f t="shared" si="27"/>
        <v>0</v>
      </c>
      <c r="I533">
        <v>101</v>
      </c>
      <c r="J533">
        <f t="shared" si="28"/>
        <v>0</v>
      </c>
    </row>
    <row r="534" spans="1:10" x14ac:dyDescent="0.2">
      <c r="A534">
        <v>5</v>
      </c>
      <c r="B534" s="15" t="s">
        <v>418</v>
      </c>
      <c r="C534" t="s">
        <v>399</v>
      </c>
      <c r="D534" t="s">
        <v>380</v>
      </c>
      <c r="E534" s="17" t="s">
        <v>372</v>
      </c>
      <c r="H534">
        <f t="shared" si="27"/>
        <v>0</v>
      </c>
      <c r="I534">
        <v>101</v>
      </c>
      <c r="J534">
        <f t="shared" si="28"/>
        <v>0</v>
      </c>
    </row>
    <row r="535" spans="1:10" x14ac:dyDescent="0.2">
      <c r="A535">
        <v>5</v>
      </c>
      <c r="B535" s="15" t="s">
        <v>418</v>
      </c>
      <c r="C535" t="s">
        <v>399</v>
      </c>
      <c r="D535" t="s">
        <v>380</v>
      </c>
      <c r="E535" s="17" t="s">
        <v>373</v>
      </c>
      <c r="H535">
        <f t="shared" si="27"/>
        <v>0</v>
      </c>
      <c r="I535">
        <v>101</v>
      </c>
      <c r="J535">
        <f t="shared" si="28"/>
        <v>0</v>
      </c>
    </row>
    <row r="536" spans="1:10" x14ac:dyDescent="0.2">
      <c r="A536">
        <v>5</v>
      </c>
      <c r="B536" s="15" t="s">
        <v>418</v>
      </c>
      <c r="C536" t="s">
        <v>399</v>
      </c>
      <c r="D536" t="s">
        <v>380</v>
      </c>
      <c r="E536" s="17" t="s">
        <v>374</v>
      </c>
      <c r="H536">
        <f t="shared" si="27"/>
        <v>0</v>
      </c>
      <c r="I536">
        <v>101</v>
      </c>
      <c r="J536">
        <f t="shared" si="28"/>
        <v>0</v>
      </c>
    </row>
    <row r="537" spans="1:10" x14ac:dyDescent="0.2">
      <c r="A537">
        <v>5</v>
      </c>
      <c r="B537" s="15" t="s">
        <v>418</v>
      </c>
      <c r="C537" t="s">
        <v>399</v>
      </c>
      <c r="D537" t="s">
        <v>380</v>
      </c>
      <c r="E537" s="17" t="s">
        <v>375</v>
      </c>
      <c r="H537">
        <f t="shared" si="27"/>
        <v>0</v>
      </c>
      <c r="I537">
        <v>101</v>
      </c>
      <c r="J537">
        <f t="shared" si="28"/>
        <v>0</v>
      </c>
    </row>
    <row r="538" spans="1:10" x14ac:dyDescent="0.2">
      <c r="A538">
        <v>5</v>
      </c>
      <c r="B538" s="15" t="s">
        <v>418</v>
      </c>
      <c r="C538" t="s">
        <v>399</v>
      </c>
      <c r="D538" t="s">
        <v>380</v>
      </c>
      <c r="E538" s="17" t="s">
        <v>376</v>
      </c>
      <c r="H538">
        <f t="shared" si="27"/>
        <v>0</v>
      </c>
      <c r="I538">
        <v>101</v>
      </c>
      <c r="J538">
        <f t="shared" si="28"/>
        <v>0</v>
      </c>
    </row>
    <row r="539" spans="1:10" x14ac:dyDescent="0.2">
      <c r="A539">
        <v>5</v>
      </c>
      <c r="B539" s="15" t="s">
        <v>418</v>
      </c>
      <c r="C539" t="s">
        <v>399</v>
      </c>
      <c r="D539" t="s">
        <v>380</v>
      </c>
      <c r="E539" s="17" t="s">
        <v>377</v>
      </c>
      <c r="H539">
        <f t="shared" si="27"/>
        <v>0</v>
      </c>
      <c r="I539">
        <v>101</v>
      </c>
      <c r="J539">
        <f t="shared" si="28"/>
        <v>0</v>
      </c>
    </row>
    <row r="540" spans="1:10" x14ac:dyDescent="0.2">
      <c r="A540">
        <v>5</v>
      </c>
      <c r="B540" s="15" t="s">
        <v>418</v>
      </c>
      <c r="C540" t="s">
        <v>399</v>
      </c>
      <c r="D540" t="s">
        <v>380</v>
      </c>
      <c r="E540" s="17" t="s">
        <v>378</v>
      </c>
      <c r="H540">
        <f t="shared" si="27"/>
        <v>0</v>
      </c>
      <c r="I540">
        <v>101</v>
      </c>
      <c r="J540">
        <f t="shared" si="28"/>
        <v>0</v>
      </c>
    </row>
    <row r="541" spans="1:10" x14ac:dyDescent="0.2">
      <c r="A541">
        <v>5</v>
      </c>
      <c r="B541" s="15" t="s">
        <v>418</v>
      </c>
      <c r="C541" t="s">
        <v>399</v>
      </c>
      <c r="D541" t="s">
        <v>380</v>
      </c>
      <c r="E541" s="17" t="s">
        <v>384</v>
      </c>
      <c r="H541">
        <f t="shared" si="27"/>
        <v>0</v>
      </c>
      <c r="I541">
        <v>101</v>
      </c>
      <c r="J541">
        <f t="shared" si="28"/>
        <v>0</v>
      </c>
    </row>
    <row r="542" spans="1:10" x14ac:dyDescent="0.2">
      <c r="A542">
        <v>5</v>
      </c>
      <c r="B542" s="15" t="s">
        <v>418</v>
      </c>
      <c r="C542" t="s">
        <v>399</v>
      </c>
      <c r="D542" t="s">
        <v>380</v>
      </c>
      <c r="E542" s="17" t="s">
        <v>385</v>
      </c>
      <c r="H542">
        <f t="shared" si="27"/>
        <v>0</v>
      </c>
      <c r="I542">
        <v>101</v>
      </c>
      <c r="J542">
        <f t="shared" si="28"/>
        <v>0</v>
      </c>
    </row>
    <row r="543" spans="1:10" x14ac:dyDescent="0.2">
      <c r="A543">
        <v>5</v>
      </c>
      <c r="B543" s="15" t="s">
        <v>418</v>
      </c>
      <c r="C543" t="s">
        <v>399</v>
      </c>
      <c r="D543" t="s">
        <v>380</v>
      </c>
      <c r="E543" s="17" t="s">
        <v>386</v>
      </c>
      <c r="H543">
        <f t="shared" si="27"/>
        <v>0</v>
      </c>
      <c r="I543">
        <v>101</v>
      </c>
      <c r="J543">
        <f t="shared" si="28"/>
        <v>0</v>
      </c>
    </row>
    <row r="544" spans="1:10" x14ac:dyDescent="0.2">
      <c r="A544">
        <v>5</v>
      </c>
      <c r="B544" s="15" t="s">
        <v>418</v>
      </c>
      <c r="C544" t="s">
        <v>399</v>
      </c>
      <c r="D544" t="s">
        <v>380</v>
      </c>
      <c r="E544" s="17" t="s">
        <v>387</v>
      </c>
      <c r="H544">
        <f t="shared" si="27"/>
        <v>0</v>
      </c>
      <c r="I544">
        <v>101</v>
      </c>
      <c r="J544">
        <f t="shared" si="28"/>
        <v>0</v>
      </c>
    </row>
    <row r="545" spans="1:10" x14ac:dyDescent="0.2">
      <c r="A545">
        <v>5</v>
      </c>
      <c r="B545" s="15" t="s">
        <v>418</v>
      </c>
      <c r="C545" t="s">
        <v>399</v>
      </c>
      <c r="D545" t="s">
        <v>380</v>
      </c>
      <c r="E545" s="17" t="s">
        <v>388</v>
      </c>
      <c r="H545">
        <f t="shared" si="27"/>
        <v>0</v>
      </c>
      <c r="I545">
        <v>101</v>
      </c>
      <c r="J545">
        <f t="shared" si="28"/>
        <v>0</v>
      </c>
    </row>
    <row r="546" spans="1:10" x14ac:dyDescent="0.2">
      <c r="A546">
        <v>5</v>
      </c>
      <c r="B546" s="15" t="s">
        <v>418</v>
      </c>
      <c r="C546" t="s">
        <v>399</v>
      </c>
      <c r="D546" t="s">
        <v>380</v>
      </c>
      <c r="E546" s="17" t="s">
        <v>389</v>
      </c>
      <c r="H546">
        <f t="shared" si="27"/>
        <v>0</v>
      </c>
      <c r="I546">
        <v>101</v>
      </c>
      <c r="J546">
        <f t="shared" si="28"/>
        <v>0</v>
      </c>
    </row>
    <row r="547" spans="1:10" x14ac:dyDescent="0.2">
      <c r="A547">
        <v>5</v>
      </c>
      <c r="B547" s="15" t="s">
        <v>418</v>
      </c>
      <c r="C547" t="s">
        <v>399</v>
      </c>
      <c r="D547" t="s">
        <v>380</v>
      </c>
      <c r="E547" s="17" t="s">
        <v>390</v>
      </c>
      <c r="H547">
        <f t="shared" si="27"/>
        <v>0</v>
      </c>
      <c r="I547">
        <v>101</v>
      </c>
      <c r="J547">
        <f t="shared" si="28"/>
        <v>0</v>
      </c>
    </row>
    <row r="548" spans="1:10" x14ac:dyDescent="0.2">
      <c r="A548">
        <v>5</v>
      </c>
      <c r="B548" s="15" t="s">
        <v>418</v>
      </c>
      <c r="C548" t="s">
        <v>399</v>
      </c>
      <c r="D548" t="s">
        <v>380</v>
      </c>
      <c r="E548" s="17" t="s">
        <v>391</v>
      </c>
      <c r="H548">
        <f t="shared" si="27"/>
        <v>0</v>
      </c>
      <c r="I548">
        <v>101</v>
      </c>
      <c r="J548">
        <f t="shared" si="28"/>
        <v>0</v>
      </c>
    </row>
    <row r="549" spans="1:10" x14ac:dyDescent="0.2">
      <c r="A549">
        <v>5</v>
      </c>
      <c r="B549" s="15" t="s">
        <v>418</v>
      </c>
      <c r="C549" t="s">
        <v>399</v>
      </c>
      <c r="D549" t="s">
        <v>380</v>
      </c>
      <c r="E549" s="17" t="s">
        <v>392</v>
      </c>
      <c r="H549">
        <f t="shared" si="27"/>
        <v>0</v>
      </c>
      <c r="I549">
        <v>101</v>
      </c>
      <c r="J549">
        <f t="shared" si="28"/>
        <v>0</v>
      </c>
    </row>
    <row r="550" spans="1:10" x14ac:dyDescent="0.2">
      <c r="A550">
        <v>5</v>
      </c>
      <c r="B550" s="15" t="s">
        <v>418</v>
      </c>
      <c r="C550" t="s">
        <v>399</v>
      </c>
      <c r="D550" t="s">
        <v>380</v>
      </c>
      <c r="E550" s="17" t="s">
        <v>393</v>
      </c>
      <c r="H550">
        <f t="shared" si="27"/>
        <v>0</v>
      </c>
      <c r="I550">
        <v>101</v>
      </c>
      <c r="J550">
        <f t="shared" si="28"/>
        <v>0</v>
      </c>
    </row>
    <row r="551" spans="1:10" x14ac:dyDescent="0.2">
      <c r="A551">
        <v>5</v>
      </c>
      <c r="B551" s="15" t="s">
        <v>418</v>
      </c>
      <c r="C551" t="s">
        <v>399</v>
      </c>
      <c r="D551" t="s">
        <v>380</v>
      </c>
      <c r="E551" s="17" t="s">
        <v>394</v>
      </c>
      <c r="H551">
        <f t="shared" si="27"/>
        <v>0</v>
      </c>
      <c r="I551">
        <v>101</v>
      </c>
      <c r="J551">
        <f t="shared" si="28"/>
        <v>0</v>
      </c>
    </row>
    <row r="552" spans="1:10" x14ac:dyDescent="0.2">
      <c r="A552">
        <v>5</v>
      </c>
      <c r="B552" s="15" t="s">
        <v>418</v>
      </c>
      <c r="C552" t="s">
        <v>399</v>
      </c>
      <c r="D552" t="s">
        <v>380</v>
      </c>
      <c r="E552" s="17" t="s">
        <v>395</v>
      </c>
      <c r="H552">
        <f t="shared" si="27"/>
        <v>0</v>
      </c>
      <c r="I552">
        <v>101</v>
      </c>
      <c r="J552">
        <f t="shared" si="28"/>
        <v>0</v>
      </c>
    </row>
    <row r="553" spans="1:10" x14ac:dyDescent="0.2">
      <c r="A553">
        <v>5</v>
      </c>
      <c r="B553" s="15" t="s">
        <v>418</v>
      </c>
      <c r="C553" t="s">
        <v>399</v>
      </c>
      <c r="D553" t="s">
        <v>380</v>
      </c>
      <c r="E553" s="17" t="s">
        <v>396</v>
      </c>
      <c r="H553">
        <f t="shared" si="27"/>
        <v>0</v>
      </c>
      <c r="I553">
        <v>101</v>
      </c>
      <c r="J553">
        <f t="shared" si="28"/>
        <v>0</v>
      </c>
    </row>
    <row r="554" spans="1:10" x14ac:dyDescent="0.2">
      <c r="A554">
        <v>5</v>
      </c>
      <c r="B554" s="15" t="s">
        <v>418</v>
      </c>
      <c r="C554" t="s">
        <v>399</v>
      </c>
      <c r="D554" t="s">
        <v>401</v>
      </c>
      <c r="E554" s="17" t="s">
        <v>362</v>
      </c>
      <c r="H554">
        <f t="shared" si="27"/>
        <v>0</v>
      </c>
      <c r="I554">
        <v>41</v>
      </c>
    </row>
    <row r="555" spans="1:10" x14ac:dyDescent="0.2">
      <c r="A555">
        <v>5</v>
      </c>
      <c r="B555" s="15" t="s">
        <v>418</v>
      </c>
      <c r="C555" t="s">
        <v>399</v>
      </c>
      <c r="D555" t="s">
        <v>401</v>
      </c>
      <c r="E555" s="17" t="s">
        <v>363</v>
      </c>
      <c r="H555">
        <f t="shared" si="27"/>
        <v>0</v>
      </c>
      <c r="I555">
        <v>41</v>
      </c>
      <c r="J555">
        <f t="shared" ref="J555:J583" si="29">F555-F554</f>
        <v>0</v>
      </c>
    </row>
    <row r="556" spans="1:10" x14ac:dyDescent="0.2">
      <c r="A556">
        <v>5</v>
      </c>
      <c r="B556" s="15" t="s">
        <v>418</v>
      </c>
      <c r="C556" t="s">
        <v>399</v>
      </c>
      <c r="D556" t="s">
        <v>401</v>
      </c>
      <c r="E556" s="17" t="s">
        <v>364</v>
      </c>
      <c r="H556">
        <f t="shared" si="27"/>
        <v>0</v>
      </c>
      <c r="I556">
        <v>41</v>
      </c>
      <c r="J556">
        <f t="shared" si="29"/>
        <v>0</v>
      </c>
    </row>
    <row r="557" spans="1:10" x14ac:dyDescent="0.2">
      <c r="A557">
        <v>5</v>
      </c>
      <c r="B557" s="15" t="s">
        <v>418</v>
      </c>
      <c r="C557" t="s">
        <v>399</v>
      </c>
      <c r="D557" t="s">
        <v>401</v>
      </c>
      <c r="E557" s="17" t="s">
        <v>365</v>
      </c>
      <c r="H557">
        <f t="shared" si="27"/>
        <v>0</v>
      </c>
      <c r="I557">
        <v>41</v>
      </c>
      <c r="J557">
        <f t="shared" si="29"/>
        <v>0</v>
      </c>
    </row>
    <row r="558" spans="1:10" x14ac:dyDescent="0.2">
      <c r="A558">
        <v>5</v>
      </c>
      <c r="B558" s="15" t="s">
        <v>418</v>
      </c>
      <c r="C558" t="s">
        <v>399</v>
      </c>
      <c r="D558" t="s">
        <v>401</v>
      </c>
      <c r="E558" s="17" t="s">
        <v>366</v>
      </c>
      <c r="H558">
        <f t="shared" si="27"/>
        <v>0</v>
      </c>
      <c r="I558">
        <v>41</v>
      </c>
      <c r="J558">
        <f t="shared" si="29"/>
        <v>0</v>
      </c>
    </row>
    <row r="559" spans="1:10" x14ac:dyDescent="0.2">
      <c r="A559">
        <v>5</v>
      </c>
      <c r="B559" s="15" t="s">
        <v>418</v>
      </c>
      <c r="C559" t="s">
        <v>399</v>
      </c>
      <c r="D559" t="s">
        <v>401</v>
      </c>
      <c r="E559" s="17" t="s">
        <v>367</v>
      </c>
      <c r="H559">
        <f t="shared" si="27"/>
        <v>0</v>
      </c>
      <c r="I559">
        <v>41</v>
      </c>
      <c r="J559">
        <f t="shared" si="29"/>
        <v>0</v>
      </c>
    </row>
    <row r="560" spans="1:10" x14ac:dyDescent="0.2">
      <c r="A560">
        <v>5</v>
      </c>
      <c r="B560" s="15" t="s">
        <v>418</v>
      </c>
      <c r="C560" t="s">
        <v>399</v>
      </c>
      <c r="D560" t="s">
        <v>401</v>
      </c>
      <c r="E560" s="17" t="s">
        <v>368</v>
      </c>
      <c r="H560">
        <f t="shared" si="27"/>
        <v>0</v>
      </c>
      <c r="I560">
        <v>41</v>
      </c>
      <c r="J560">
        <f t="shared" si="29"/>
        <v>0</v>
      </c>
    </row>
    <row r="561" spans="1:10" x14ac:dyDescent="0.2">
      <c r="A561">
        <v>5</v>
      </c>
      <c r="B561" s="15" t="s">
        <v>418</v>
      </c>
      <c r="C561" t="s">
        <v>399</v>
      </c>
      <c r="D561" t="s">
        <v>401</v>
      </c>
      <c r="E561" s="17" t="s">
        <v>369</v>
      </c>
      <c r="H561">
        <f t="shared" ref="H561:H613" si="30">F561-G561</f>
        <v>0</v>
      </c>
      <c r="I561">
        <v>41</v>
      </c>
      <c r="J561">
        <f t="shared" si="29"/>
        <v>0</v>
      </c>
    </row>
    <row r="562" spans="1:10" x14ac:dyDescent="0.2">
      <c r="A562">
        <v>5</v>
      </c>
      <c r="B562" s="15" t="s">
        <v>418</v>
      </c>
      <c r="C562" t="s">
        <v>399</v>
      </c>
      <c r="D562" t="s">
        <v>401</v>
      </c>
      <c r="E562" s="17" t="s">
        <v>370</v>
      </c>
      <c r="H562">
        <f t="shared" si="30"/>
        <v>0</v>
      </c>
      <c r="I562">
        <v>41</v>
      </c>
      <c r="J562">
        <f t="shared" si="29"/>
        <v>0</v>
      </c>
    </row>
    <row r="563" spans="1:10" x14ac:dyDescent="0.2">
      <c r="A563">
        <v>5</v>
      </c>
      <c r="B563" s="15" t="s">
        <v>418</v>
      </c>
      <c r="C563" t="s">
        <v>399</v>
      </c>
      <c r="D563" t="s">
        <v>401</v>
      </c>
      <c r="E563" s="17" t="s">
        <v>371</v>
      </c>
      <c r="H563">
        <f t="shared" si="30"/>
        <v>0</v>
      </c>
      <c r="I563">
        <v>41</v>
      </c>
      <c r="J563">
        <f t="shared" si="29"/>
        <v>0</v>
      </c>
    </row>
    <row r="564" spans="1:10" x14ac:dyDescent="0.2">
      <c r="A564">
        <v>5</v>
      </c>
      <c r="B564" s="15" t="s">
        <v>418</v>
      </c>
      <c r="C564" t="s">
        <v>399</v>
      </c>
      <c r="D564" t="s">
        <v>401</v>
      </c>
      <c r="E564" s="17" t="s">
        <v>372</v>
      </c>
      <c r="H564">
        <f t="shared" si="30"/>
        <v>0</v>
      </c>
      <c r="I564">
        <v>41</v>
      </c>
      <c r="J564">
        <f t="shared" si="29"/>
        <v>0</v>
      </c>
    </row>
    <row r="565" spans="1:10" x14ac:dyDescent="0.2">
      <c r="A565">
        <v>5</v>
      </c>
      <c r="B565" s="15" t="s">
        <v>418</v>
      </c>
      <c r="C565" t="s">
        <v>399</v>
      </c>
      <c r="D565" t="s">
        <v>401</v>
      </c>
      <c r="E565" s="17" t="s">
        <v>373</v>
      </c>
      <c r="H565">
        <f t="shared" si="30"/>
        <v>0</v>
      </c>
      <c r="I565">
        <v>41</v>
      </c>
      <c r="J565">
        <f t="shared" si="29"/>
        <v>0</v>
      </c>
    </row>
    <row r="566" spans="1:10" x14ac:dyDescent="0.2">
      <c r="A566">
        <v>5</v>
      </c>
      <c r="B566" s="15" t="s">
        <v>418</v>
      </c>
      <c r="C566" t="s">
        <v>399</v>
      </c>
      <c r="D566" t="s">
        <v>401</v>
      </c>
      <c r="E566" s="17" t="s">
        <v>374</v>
      </c>
      <c r="H566">
        <f t="shared" si="30"/>
        <v>0</v>
      </c>
      <c r="I566">
        <v>41</v>
      </c>
      <c r="J566">
        <f t="shared" si="29"/>
        <v>0</v>
      </c>
    </row>
    <row r="567" spans="1:10" x14ac:dyDescent="0.2">
      <c r="A567">
        <v>5</v>
      </c>
      <c r="B567" s="15" t="s">
        <v>418</v>
      </c>
      <c r="C567" t="s">
        <v>399</v>
      </c>
      <c r="D567" t="s">
        <v>401</v>
      </c>
      <c r="E567" s="17" t="s">
        <v>375</v>
      </c>
      <c r="H567">
        <f t="shared" si="30"/>
        <v>0</v>
      </c>
      <c r="I567">
        <v>41</v>
      </c>
      <c r="J567">
        <f t="shared" si="29"/>
        <v>0</v>
      </c>
    </row>
    <row r="568" spans="1:10" x14ac:dyDescent="0.2">
      <c r="A568">
        <v>5</v>
      </c>
      <c r="B568" s="15" t="s">
        <v>418</v>
      </c>
      <c r="C568" t="s">
        <v>399</v>
      </c>
      <c r="D568" t="s">
        <v>401</v>
      </c>
      <c r="E568" s="17" t="s">
        <v>376</v>
      </c>
      <c r="H568">
        <f t="shared" si="30"/>
        <v>0</v>
      </c>
      <c r="I568">
        <v>41</v>
      </c>
      <c r="J568">
        <f t="shared" si="29"/>
        <v>0</v>
      </c>
    </row>
    <row r="569" spans="1:10" x14ac:dyDescent="0.2">
      <c r="A569">
        <v>5</v>
      </c>
      <c r="B569" s="15" t="s">
        <v>418</v>
      </c>
      <c r="C569" t="s">
        <v>399</v>
      </c>
      <c r="D569" t="s">
        <v>401</v>
      </c>
      <c r="E569" s="17" t="s">
        <v>377</v>
      </c>
      <c r="H569">
        <f t="shared" si="30"/>
        <v>0</v>
      </c>
      <c r="I569">
        <v>41</v>
      </c>
      <c r="J569">
        <f t="shared" si="29"/>
        <v>0</v>
      </c>
    </row>
    <row r="570" spans="1:10" x14ac:dyDescent="0.2">
      <c r="A570">
        <v>5</v>
      </c>
      <c r="B570" s="15" t="s">
        <v>418</v>
      </c>
      <c r="C570" t="s">
        <v>399</v>
      </c>
      <c r="D570" t="s">
        <v>401</v>
      </c>
      <c r="E570" s="17" t="s">
        <v>378</v>
      </c>
      <c r="H570">
        <f t="shared" si="30"/>
        <v>0</v>
      </c>
      <c r="I570">
        <v>41</v>
      </c>
      <c r="J570">
        <f t="shared" si="29"/>
        <v>0</v>
      </c>
    </row>
    <row r="571" spans="1:10" x14ac:dyDescent="0.2">
      <c r="A571">
        <v>5</v>
      </c>
      <c r="B571" s="15" t="s">
        <v>418</v>
      </c>
      <c r="C571" t="s">
        <v>399</v>
      </c>
      <c r="D571" t="s">
        <v>401</v>
      </c>
      <c r="E571" s="17" t="s">
        <v>384</v>
      </c>
      <c r="H571">
        <f t="shared" si="30"/>
        <v>0</v>
      </c>
      <c r="I571">
        <v>41</v>
      </c>
      <c r="J571">
        <f t="shared" si="29"/>
        <v>0</v>
      </c>
    </row>
    <row r="572" spans="1:10" x14ac:dyDescent="0.2">
      <c r="A572">
        <v>5</v>
      </c>
      <c r="B572" s="15" t="s">
        <v>418</v>
      </c>
      <c r="C572" t="s">
        <v>399</v>
      </c>
      <c r="D572" t="s">
        <v>401</v>
      </c>
      <c r="E572" s="17" t="s">
        <v>385</v>
      </c>
      <c r="H572">
        <f t="shared" si="30"/>
        <v>0</v>
      </c>
      <c r="I572">
        <v>41</v>
      </c>
      <c r="J572">
        <f t="shared" si="29"/>
        <v>0</v>
      </c>
    </row>
    <row r="573" spans="1:10" x14ac:dyDescent="0.2">
      <c r="A573">
        <v>5</v>
      </c>
      <c r="B573" s="15" t="s">
        <v>418</v>
      </c>
      <c r="C573" t="s">
        <v>399</v>
      </c>
      <c r="D573" t="s">
        <v>401</v>
      </c>
      <c r="E573" s="17" t="s">
        <v>386</v>
      </c>
      <c r="H573">
        <f t="shared" si="30"/>
        <v>0</v>
      </c>
      <c r="I573">
        <v>41</v>
      </c>
      <c r="J573">
        <f t="shared" si="29"/>
        <v>0</v>
      </c>
    </row>
    <row r="574" spans="1:10" x14ac:dyDescent="0.2">
      <c r="A574">
        <v>5</v>
      </c>
      <c r="B574" s="15" t="s">
        <v>418</v>
      </c>
      <c r="C574" t="s">
        <v>399</v>
      </c>
      <c r="D574" t="s">
        <v>401</v>
      </c>
      <c r="E574" s="17" t="s">
        <v>387</v>
      </c>
      <c r="H574">
        <f t="shared" si="30"/>
        <v>0</v>
      </c>
      <c r="I574">
        <v>41</v>
      </c>
      <c r="J574">
        <f t="shared" si="29"/>
        <v>0</v>
      </c>
    </row>
    <row r="575" spans="1:10" x14ac:dyDescent="0.2">
      <c r="A575">
        <v>5</v>
      </c>
      <c r="B575" s="15" t="s">
        <v>418</v>
      </c>
      <c r="C575" t="s">
        <v>399</v>
      </c>
      <c r="D575" t="s">
        <v>401</v>
      </c>
      <c r="E575" s="17" t="s">
        <v>388</v>
      </c>
      <c r="H575">
        <f t="shared" si="30"/>
        <v>0</v>
      </c>
      <c r="I575">
        <v>41</v>
      </c>
      <c r="J575">
        <f t="shared" si="29"/>
        <v>0</v>
      </c>
    </row>
    <row r="576" spans="1:10" x14ac:dyDescent="0.2">
      <c r="A576">
        <v>5</v>
      </c>
      <c r="B576" s="15" t="s">
        <v>418</v>
      </c>
      <c r="C576" t="s">
        <v>399</v>
      </c>
      <c r="D576" t="s">
        <v>401</v>
      </c>
      <c r="E576" s="17" t="s">
        <v>389</v>
      </c>
      <c r="H576">
        <f t="shared" si="30"/>
        <v>0</v>
      </c>
      <c r="I576">
        <v>41</v>
      </c>
      <c r="J576">
        <f t="shared" si="29"/>
        <v>0</v>
      </c>
    </row>
    <row r="577" spans="1:10" x14ac:dyDescent="0.2">
      <c r="A577">
        <v>5</v>
      </c>
      <c r="B577" s="15" t="s">
        <v>418</v>
      </c>
      <c r="C577" t="s">
        <v>399</v>
      </c>
      <c r="D577" t="s">
        <v>401</v>
      </c>
      <c r="E577" s="17" t="s">
        <v>390</v>
      </c>
      <c r="H577">
        <f t="shared" si="30"/>
        <v>0</v>
      </c>
      <c r="I577">
        <v>41</v>
      </c>
      <c r="J577">
        <f t="shared" si="29"/>
        <v>0</v>
      </c>
    </row>
    <row r="578" spans="1:10" x14ac:dyDescent="0.2">
      <c r="A578">
        <v>5</v>
      </c>
      <c r="B578" s="15" t="s">
        <v>418</v>
      </c>
      <c r="C578" t="s">
        <v>399</v>
      </c>
      <c r="D578" t="s">
        <v>401</v>
      </c>
      <c r="E578" s="17" t="s">
        <v>391</v>
      </c>
      <c r="H578">
        <f t="shared" si="30"/>
        <v>0</v>
      </c>
      <c r="I578">
        <v>41</v>
      </c>
      <c r="J578">
        <f t="shared" si="29"/>
        <v>0</v>
      </c>
    </row>
    <row r="579" spans="1:10" x14ac:dyDescent="0.2">
      <c r="A579">
        <v>5</v>
      </c>
      <c r="B579" s="15" t="s">
        <v>418</v>
      </c>
      <c r="C579" t="s">
        <v>399</v>
      </c>
      <c r="D579" t="s">
        <v>401</v>
      </c>
      <c r="E579" s="17" t="s">
        <v>392</v>
      </c>
      <c r="H579">
        <f t="shared" si="30"/>
        <v>0</v>
      </c>
      <c r="I579">
        <v>41</v>
      </c>
      <c r="J579">
        <f t="shared" si="29"/>
        <v>0</v>
      </c>
    </row>
    <row r="580" spans="1:10" x14ac:dyDescent="0.2">
      <c r="A580">
        <v>5</v>
      </c>
      <c r="B580" s="15" t="s">
        <v>418</v>
      </c>
      <c r="C580" t="s">
        <v>399</v>
      </c>
      <c r="D580" t="s">
        <v>401</v>
      </c>
      <c r="E580" s="17" t="s">
        <v>393</v>
      </c>
      <c r="H580">
        <f t="shared" si="30"/>
        <v>0</v>
      </c>
      <c r="I580">
        <v>41</v>
      </c>
      <c r="J580">
        <f t="shared" si="29"/>
        <v>0</v>
      </c>
    </row>
    <row r="581" spans="1:10" x14ac:dyDescent="0.2">
      <c r="A581">
        <v>5</v>
      </c>
      <c r="B581" s="15" t="s">
        <v>418</v>
      </c>
      <c r="C581" t="s">
        <v>399</v>
      </c>
      <c r="D581" t="s">
        <v>401</v>
      </c>
      <c r="E581" s="17" t="s">
        <v>394</v>
      </c>
      <c r="H581">
        <f t="shared" si="30"/>
        <v>0</v>
      </c>
      <c r="I581">
        <v>41</v>
      </c>
      <c r="J581">
        <f t="shared" si="29"/>
        <v>0</v>
      </c>
    </row>
    <row r="582" spans="1:10" x14ac:dyDescent="0.2">
      <c r="A582">
        <v>5</v>
      </c>
      <c r="B582" s="15" t="s">
        <v>418</v>
      </c>
      <c r="C582" t="s">
        <v>399</v>
      </c>
      <c r="D582" t="s">
        <v>401</v>
      </c>
      <c r="E582" s="17" t="s">
        <v>395</v>
      </c>
      <c r="H582">
        <f t="shared" si="30"/>
        <v>0</v>
      </c>
      <c r="I582">
        <v>41</v>
      </c>
      <c r="J582">
        <f t="shared" si="29"/>
        <v>0</v>
      </c>
    </row>
    <row r="583" spans="1:10" x14ac:dyDescent="0.2">
      <c r="A583">
        <v>5</v>
      </c>
      <c r="B583" s="15" t="s">
        <v>418</v>
      </c>
      <c r="C583" t="s">
        <v>399</v>
      </c>
      <c r="D583" t="s">
        <v>401</v>
      </c>
      <c r="E583" s="17" t="s">
        <v>396</v>
      </c>
      <c r="H583">
        <f t="shared" si="30"/>
        <v>0</v>
      </c>
      <c r="I583">
        <v>41</v>
      </c>
      <c r="J583">
        <f t="shared" si="29"/>
        <v>0</v>
      </c>
    </row>
    <row r="584" spans="1:10" x14ac:dyDescent="0.2">
      <c r="A584">
        <v>5</v>
      </c>
      <c r="B584" s="15" t="s">
        <v>418</v>
      </c>
      <c r="C584" t="s">
        <v>399</v>
      </c>
      <c r="D584" t="s">
        <v>380</v>
      </c>
      <c r="E584" s="17" t="s">
        <v>362</v>
      </c>
      <c r="H584">
        <f t="shared" si="30"/>
        <v>0</v>
      </c>
      <c r="I584">
        <v>41</v>
      </c>
    </row>
    <row r="585" spans="1:10" x14ac:dyDescent="0.2">
      <c r="A585">
        <v>5</v>
      </c>
      <c r="B585" s="15" t="s">
        <v>418</v>
      </c>
      <c r="C585" t="s">
        <v>399</v>
      </c>
      <c r="D585" t="s">
        <v>380</v>
      </c>
      <c r="E585" s="17" t="s">
        <v>363</v>
      </c>
      <c r="H585">
        <f t="shared" si="30"/>
        <v>0</v>
      </c>
      <c r="I585">
        <v>41</v>
      </c>
      <c r="J585">
        <f t="shared" ref="J585:J613" si="31">F585-F584</f>
        <v>0</v>
      </c>
    </row>
    <row r="586" spans="1:10" x14ac:dyDescent="0.2">
      <c r="A586">
        <v>5</v>
      </c>
      <c r="B586" s="15" t="s">
        <v>418</v>
      </c>
      <c r="C586" t="s">
        <v>399</v>
      </c>
      <c r="D586" t="s">
        <v>380</v>
      </c>
      <c r="E586" s="17" t="s">
        <v>364</v>
      </c>
      <c r="H586">
        <f t="shared" si="30"/>
        <v>0</v>
      </c>
      <c r="I586">
        <v>41</v>
      </c>
      <c r="J586">
        <f t="shared" si="31"/>
        <v>0</v>
      </c>
    </row>
    <row r="587" spans="1:10" x14ac:dyDescent="0.2">
      <c r="A587">
        <v>5</v>
      </c>
      <c r="B587" s="15" t="s">
        <v>418</v>
      </c>
      <c r="C587" t="s">
        <v>399</v>
      </c>
      <c r="D587" t="s">
        <v>380</v>
      </c>
      <c r="E587" s="17" t="s">
        <v>365</v>
      </c>
      <c r="H587">
        <f t="shared" si="30"/>
        <v>0</v>
      </c>
      <c r="I587">
        <v>41</v>
      </c>
      <c r="J587">
        <f t="shared" si="31"/>
        <v>0</v>
      </c>
    </row>
    <row r="588" spans="1:10" x14ac:dyDescent="0.2">
      <c r="A588">
        <v>5</v>
      </c>
      <c r="B588" s="15" t="s">
        <v>418</v>
      </c>
      <c r="C588" t="s">
        <v>399</v>
      </c>
      <c r="D588" t="s">
        <v>380</v>
      </c>
      <c r="E588" s="17" t="s">
        <v>366</v>
      </c>
      <c r="H588">
        <f t="shared" si="30"/>
        <v>0</v>
      </c>
      <c r="I588">
        <v>41</v>
      </c>
      <c r="J588">
        <f t="shared" si="31"/>
        <v>0</v>
      </c>
    </row>
    <row r="589" spans="1:10" x14ac:dyDescent="0.2">
      <c r="A589">
        <v>5</v>
      </c>
      <c r="B589" s="15" t="s">
        <v>418</v>
      </c>
      <c r="C589" t="s">
        <v>399</v>
      </c>
      <c r="D589" t="s">
        <v>380</v>
      </c>
      <c r="E589" s="17" t="s">
        <v>367</v>
      </c>
      <c r="H589">
        <f t="shared" si="30"/>
        <v>0</v>
      </c>
      <c r="I589">
        <v>41</v>
      </c>
      <c r="J589">
        <f t="shared" si="31"/>
        <v>0</v>
      </c>
    </row>
    <row r="590" spans="1:10" x14ac:dyDescent="0.2">
      <c r="A590">
        <v>5</v>
      </c>
      <c r="B590" s="15" t="s">
        <v>418</v>
      </c>
      <c r="C590" t="s">
        <v>399</v>
      </c>
      <c r="D590" t="s">
        <v>380</v>
      </c>
      <c r="E590" s="17" t="s">
        <v>368</v>
      </c>
      <c r="H590">
        <f t="shared" si="30"/>
        <v>0</v>
      </c>
      <c r="I590">
        <v>41</v>
      </c>
      <c r="J590">
        <f t="shared" si="31"/>
        <v>0</v>
      </c>
    </row>
    <row r="591" spans="1:10" x14ac:dyDescent="0.2">
      <c r="A591">
        <v>5</v>
      </c>
      <c r="B591" s="15" t="s">
        <v>418</v>
      </c>
      <c r="C591" t="s">
        <v>399</v>
      </c>
      <c r="D591" t="s">
        <v>380</v>
      </c>
      <c r="E591" s="17" t="s">
        <v>369</v>
      </c>
      <c r="H591">
        <f t="shared" si="30"/>
        <v>0</v>
      </c>
      <c r="I591">
        <v>41</v>
      </c>
      <c r="J591">
        <f t="shared" si="31"/>
        <v>0</v>
      </c>
    </row>
    <row r="592" spans="1:10" x14ac:dyDescent="0.2">
      <c r="A592">
        <v>5</v>
      </c>
      <c r="B592" s="15" t="s">
        <v>418</v>
      </c>
      <c r="C592" t="s">
        <v>399</v>
      </c>
      <c r="D592" t="s">
        <v>380</v>
      </c>
      <c r="E592" s="17" t="s">
        <v>370</v>
      </c>
      <c r="H592">
        <f t="shared" si="30"/>
        <v>0</v>
      </c>
      <c r="I592">
        <v>41</v>
      </c>
      <c r="J592">
        <f t="shared" si="31"/>
        <v>0</v>
      </c>
    </row>
    <row r="593" spans="1:10" x14ac:dyDescent="0.2">
      <c r="A593">
        <v>5</v>
      </c>
      <c r="B593" s="15" t="s">
        <v>418</v>
      </c>
      <c r="C593" t="s">
        <v>399</v>
      </c>
      <c r="D593" t="s">
        <v>380</v>
      </c>
      <c r="E593" s="17" t="s">
        <v>371</v>
      </c>
      <c r="H593">
        <f t="shared" si="30"/>
        <v>0</v>
      </c>
      <c r="I593">
        <v>41</v>
      </c>
      <c r="J593">
        <f t="shared" si="31"/>
        <v>0</v>
      </c>
    </row>
    <row r="594" spans="1:10" x14ac:dyDescent="0.2">
      <c r="A594">
        <v>5</v>
      </c>
      <c r="B594" s="15" t="s">
        <v>418</v>
      </c>
      <c r="C594" t="s">
        <v>399</v>
      </c>
      <c r="D594" t="s">
        <v>380</v>
      </c>
      <c r="E594" s="17" t="s">
        <v>372</v>
      </c>
      <c r="H594">
        <f t="shared" si="30"/>
        <v>0</v>
      </c>
      <c r="I594">
        <v>41</v>
      </c>
      <c r="J594">
        <f t="shared" si="31"/>
        <v>0</v>
      </c>
    </row>
    <row r="595" spans="1:10" x14ac:dyDescent="0.2">
      <c r="A595">
        <v>5</v>
      </c>
      <c r="B595" s="15" t="s">
        <v>418</v>
      </c>
      <c r="C595" t="s">
        <v>399</v>
      </c>
      <c r="D595" t="s">
        <v>380</v>
      </c>
      <c r="E595" s="17" t="s">
        <v>373</v>
      </c>
      <c r="H595">
        <f t="shared" si="30"/>
        <v>0</v>
      </c>
      <c r="I595">
        <v>41</v>
      </c>
      <c r="J595">
        <f t="shared" si="31"/>
        <v>0</v>
      </c>
    </row>
    <row r="596" spans="1:10" x14ac:dyDescent="0.2">
      <c r="A596">
        <v>5</v>
      </c>
      <c r="B596" s="15" t="s">
        <v>418</v>
      </c>
      <c r="C596" t="s">
        <v>399</v>
      </c>
      <c r="D596" t="s">
        <v>380</v>
      </c>
      <c r="E596" s="17" t="s">
        <v>374</v>
      </c>
      <c r="H596">
        <f t="shared" si="30"/>
        <v>0</v>
      </c>
      <c r="I596">
        <v>41</v>
      </c>
      <c r="J596">
        <f t="shared" si="31"/>
        <v>0</v>
      </c>
    </row>
    <row r="597" spans="1:10" x14ac:dyDescent="0.2">
      <c r="A597">
        <v>5</v>
      </c>
      <c r="B597" s="15" t="s">
        <v>418</v>
      </c>
      <c r="C597" t="s">
        <v>399</v>
      </c>
      <c r="D597" t="s">
        <v>380</v>
      </c>
      <c r="E597" s="17" t="s">
        <v>375</v>
      </c>
      <c r="H597">
        <f t="shared" si="30"/>
        <v>0</v>
      </c>
      <c r="I597">
        <v>41</v>
      </c>
      <c r="J597">
        <f t="shared" si="31"/>
        <v>0</v>
      </c>
    </row>
    <row r="598" spans="1:10" x14ac:dyDescent="0.2">
      <c r="A598">
        <v>5</v>
      </c>
      <c r="B598" s="15" t="s">
        <v>418</v>
      </c>
      <c r="C598" t="s">
        <v>399</v>
      </c>
      <c r="D598" t="s">
        <v>380</v>
      </c>
      <c r="E598" s="17" t="s">
        <v>376</v>
      </c>
      <c r="H598">
        <f t="shared" si="30"/>
        <v>0</v>
      </c>
      <c r="I598">
        <v>41</v>
      </c>
      <c r="J598">
        <f t="shared" si="31"/>
        <v>0</v>
      </c>
    </row>
    <row r="599" spans="1:10" x14ac:dyDescent="0.2">
      <c r="A599">
        <v>5</v>
      </c>
      <c r="B599" s="15" t="s">
        <v>418</v>
      </c>
      <c r="C599" t="s">
        <v>399</v>
      </c>
      <c r="D599" t="s">
        <v>380</v>
      </c>
      <c r="E599" s="17" t="s">
        <v>377</v>
      </c>
      <c r="H599">
        <f t="shared" si="30"/>
        <v>0</v>
      </c>
      <c r="I599">
        <v>41</v>
      </c>
      <c r="J599">
        <f t="shared" si="31"/>
        <v>0</v>
      </c>
    </row>
    <row r="600" spans="1:10" x14ac:dyDescent="0.2">
      <c r="A600">
        <v>5</v>
      </c>
      <c r="B600" s="15" t="s">
        <v>418</v>
      </c>
      <c r="C600" t="s">
        <v>399</v>
      </c>
      <c r="D600" t="s">
        <v>380</v>
      </c>
      <c r="E600" s="17" t="s">
        <v>378</v>
      </c>
      <c r="H600">
        <f t="shared" si="30"/>
        <v>0</v>
      </c>
      <c r="I600">
        <v>41</v>
      </c>
      <c r="J600">
        <f t="shared" si="31"/>
        <v>0</v>
      </c>
    </row>
    <row r="601" spans="1:10" x14ac:dyDescent="0.2">
      <c r="A601">
        <v>5</v>
      </c>
      <c r="B601" s="15" t="s">
        <v>418</v>
      </c>
      <c r="C601" t="s">
        <v>399</v>
      </c>
      <c r="D601" t="s">
        <v>380</v>
      </c>
      <c r="E601" s="17" t="s">
        <v>384</v>
      </c>
      <c r="H601">
        <f t="shared" si="30"/>
        <v>0</v>
      </c>
      <c r="I601">
        <v>41</v>
      </c>
      <c r="J601">
        <f t="shared" si="31"/>
        <v>0</v>
      </c>
    </row>
    <row r="602" spans="1:10" x14ac:dyDescent="0.2">
      <c r="A602">
        <v>5</v>
      </c>
      <c r="B602" s="15" t="s">
        <v>418</v>
      </c>
      <c r="C602" t="s">
        <v>399</v>
      </c>
      <c r="D602" t="s">
        <v>380</v>
      </c>
      <c r="E602" s="17" t="s">
        <v>385</v>
      </c>
      <c r="H602">
        <f t="shared" si="30"/>
        <v>0</v>
      </c>
      <c r="I602">
        <v>41</v>
      </c>
      <c r="J602">
        <f t="shared" si="31"/>
        <v>0</v>
      </c>
    </row>
    <row r="603" spans="1:10" x14ac:dyDescent="0.2">
      <c r="A603">
        <v>5</v>
      </c>
      <c r="B603" s="15" t="s">
        <v>418</v>
      </c>
      <c r="C603" t="s">
        <v>399</v>
      </c>
      <c r="D603" t="s">
        <v>380</v>
      </c>
      <c r="E603" s="17" t="s">
        <v>386</v>
      </c>
      <c r="H603">
        <f t="shared" si="30"/>
        <v>0</v>
      </c>
      <c r="I603">
        <v>41</v>
      </c>
      <c r="J603">
        <f t="shared" si="31"/>
        <v>0</v>
      </c>
    </row>
    <row r="604" spans="1:10" x14ac:dyDescent="0.2">
      <c r="A604">
        <v>5</v>
      </c>
      <c r="B604" s="15" t="s">
        <v>418</v>
      </c>
      <c r="C604" t="s">
        <v>399</v>
      </c>
      <c r="D604" t="s">
        <v>380</v>
      </c>
      <c r="E604" s="17" t="s">
        <v>387</v>
      </c>
      <c r="H604">
        <f t="shared" si="30"/>
        <v>0</v>
      </c>
      <c r="I604">
        <v>41</v>
      </c>
      <c r="J604">
        <f t="shared" si="31"/>
        <v>0</v>
      </c>
    </row>
    <row r="605" spans="1:10" x14ac:dyDescent="0.2">
      <c r="A605">
        <v>5</v>
      </c>
      <c r="B605" s="15" t="s">
        <v>418</v>
      </c>
      <c r="C605" t="s">
        <v>399</v>
      </c>
      <c r="D605" t="s">
        <v>380</v>
      </c>
      <c r="E605" s="17" t="s">
        <v>388</v>
      </c>
      <c r="H605">
        <f t="shared" si="30"/>
        <v>0</v>
      </c>
      <c r="I605">
        <v>41</v>
      </c>
      <c r="J605">
        <f t="shared" si="31"/>
        <v>0</v>
      </c>
    </row>
    <row r="606" spans="1:10" x14ac:dyDescent="0.2">
      <c r="A606">
        <v>5</v>
      </c>
      <c r="B606" s="15" t="s">
        <v>418</v>
      </c>
      <c r="C606" t="s">
        <v>399</v>
      </c>
      <c r="D606" t="s">
        <v>380</v>
      </c>
      <c r="E606" s="17" t="s">
        <v>389</v>
      </c>
      <c r="H606">
        <f t="shared" si="30"/>
        <v>0</v>
      </c>
      <c r="I606">
        <v>41</v>
      </c>
      <c r="J606">
        <f t="shared" si="31"/>
        <v>0</v>
      </c>
    </row>
    <row r="607" spans="1:10" x14ac:dyDescent="0.2">
      <c r="A607">
        <v>5</v>
      </c>
      <c r="B607" s="15" t="s">
        <v>418</v>
      </c>
      <c r="C607" t="s">
        <v>399</v>
      </c>
      <c r="D607" t="s">
        <v>380</v>
      </c>
      <c r="E607" s="17" t="s">
        <v>390</v>
      </c>
      <c r="H607">
        <f t="shared" si="30"/>
        <v>0</v>
      </c>
      <c r="I607">
        <v>41</v>
      </c>
      <c r="J607">
        <f t="shared" si="31"/>
        <v>0</v>
      </c>
    </row>
    <row r="608" spans="1:10" x14ac:dyDescent="0.2">
      <c r="A608">
        <v>5</v>
      </c>
      <c r="B608" s="15" t="s">
        <v>418</v>
      </c>
      <c r="C608" t="s">
        <v>399</v>
      </c>
      <c r="D608" t="s">
        <v>380</v>
      </c>
      <c r="E608" s="17" t="s">
        <v>391</v>
      </c>
      <c r="H608">
        <f t="shared" si="30"/>
        <v>0</v>
      </c>
      <c r="I608">
        <v>41</v>
      </c>
      <c r="J608">
        <f t="shared" si="31"/>
        <v>0</v>
      </c>
    </row>
    <row r="609" spans="1:10" x14ac:dyDescent="0.2">
      <c r="A609">
        <v>5</v>
      </c>
      <c r="B609" s="15" t="s">
        <v>418</v>
      </c>
      <c r="C609" t="s">
        <v>399</v>
      </c>
      <c r="D609" t="s">
        <v>380</v>
      </c>
      <c r="E609" s="17" t="s">
        <v>392</v>
      </c>
      <c r="H609">
        <f t="shared" si="30"/>
        <v>0</v>
      </c>
      <c r="I609">
        <v>41</v>
      </c>
      <c r="J609">
        <f t="shared" si="31"/>
        <v>0</v>
      </c>
    </row>
    <row r="610" spans="1:10" x14ac:dyDescent="0.2">
      <c r="A610">
        <v>5</v>
      </c>
      <c r="B610" s="15" t="s">
        <v>418</v>
      </c>
      <c r="C610" t="s">
        <v>399</v>
      </c>
      <c r="D610" t="s">
        <v>380</v>
      </c>
      <c r="E610" s="17" t="s">
        <v>393</v>
      </c>
      <c r="H610">
        <f t="shared" si="30"/>
        <v>0</v>
      </c>
      <c r="I610">
        <v>41</v>
      </c>
      <c r="J610">
        <f t="shared" si="31"/>
        <v>0</v>
      </c>
    </row>
    <row r="611" spans="1:10" x14ac:dyDescent="0.2">
      <c r="A611">
        <v>5</v>
      </c>
      <c r="B611" s="15" t="s">
        <v>418</v>
      </c>
      <c r="C611" t="s">
        <v>399</v>
      </c>
      <c r="D611" t="s">
        <v>380</v>
      </c>
      <c r="E611" s="17" t="s">
        <v>394</v>
      </c>
      <c r="H611">
        <f t="shared" si="30"/>
        <v>0</v>
      </c>
      <c r="I611">
        <v>41</v>
      </c>
      <c r="J611">
        <f t="shared" si="31"/>
        <v>0</v>
      </c>
    </row>
    <row r="612" spans="1:10" x14ac:dyDescent="0.2">
      <c r="A612">
        <v>5</v>
      </c>
      <c r="B612" s="15" t="s">
        <v>418</v>
      </c>
      <c r="C612" t="s">
        <v>399</v>
      </c>
      <c r="D612" t="s">
        <v>380</v>
      </c>
      <c r="E612" s="17" t="s">
        <v>395</v>
      </c>
      <c r="H612">
        <f t="shared" si="30"/>
        <v>0</v>
      </c>
      <c r="I612">
        <v>41</v>
      </c>
      <c r="J612">
        <f t="shared" si="31"/>
        <v>0</v>
      </c>
    </row>
    <row r="613" spans="1:10" x14ac:dyDescent="0.2">
      <c r="A613">
        <v>5</v>
      </c>
      <c r="B613" s="15" t="s">
        <v>418</v>
      </c>
      <c r="C613" t="s">
        <v>399</v>
      </c>
      <c r="D613" t="s">
        <v>380</v>
      </c>
      <c r="E613" s="17" t="s">
        <v>396</v>
      </c>
      <c r="H613">
        <f t="shared" si="30"/>
        <v>0</v>
      </c>
      <c r="I613">
        <v>41</v>
      </c>
      <c r="J613">
        <f t="shared" si="31"/>
        <v>0</v>
      </c>
    </row>
    <row r="614" spans="1:10" x14ac:dyDescent="0.2">
      <c r="A614">
        <v>6</v>
      </c>
      <c r="B614" s="15" t="s">
        <v>415</v>
      </c>
      <c r="C614" t="s">
        <v>399</v>
      </c>
      <c r="D614" t="s">
        <v>401</v>
      </c>
      <c r="E614" s="17" t="s">
        <v>362</v>
      </c>
      <c r="F614" s="17">
        <v>38257</v>
      </c>
      <c r="G614" s="17">
        <v>38216</v>
      </c>
      <c r="H614">
        <f t="shared" ref="H614:H631" si="32">F614-G614</f>
        <v>41</v>
      </c>
      <c r="I614">
        <v>101</v>
      </c>
    </row>
    <row r="615" spans="1:10" x14ac:dyDescent="0.2">
      <c r="A615">
        <v>6</v>
      </c>
      <c r="B615" s="15" t="s">
        <v>415</v>
      </c>
      <c r="C615" t="s">
        <v>399</v>
      </c>
      <c r="D615" t="s">
        <v>401</v>
      </c>
      <c r="E615" s="17" t="s">
        <v>363</v>
      </c>
      <c r="F615" s="17">
        <v>44641</v>
      </c>
      <c r="G615" s="17">
        <v>44602</v>
      </c>
      <c r="H615">
        <f t="shared" si="32"/>
        <v>39</v>
      </c>
      <c r="I615">
        <v>101</v>
      </c>
      <c r="J615">
        <f t="shared" ref="J615:J667" si="33">F615-F614</f>
        <v>6384</v>
      </c>
    </row>
    <row r="616" spans="1:10" x14ac:dyDescent="0.2">
      <c r="A616">
        <v>6</v>
      </c>
      <c r="B616" s="15" t="s">
        <v>415</v>
      </c>
      <c r="C616" t="s">
        <v>399</v>
      </c>
      <c r="D616" t="s">
        <v>401</v>
      </c>
      <c r="E616" s="17" t="s">
        <v>364</v>
      </c>
      <c r="F616" s="17">
        <v>50916</v>
      </c>
      <c r="G616" s="17">
        <v>50881</v>
      </c>
      <c r="H616">
        <f t="shared" si="32"/>
        <v>35</v>
      </c>
      <c r="I616">
        <v>101</v>
      </c>
      <c r="J616">
        <f t="shared" si="33"/>
        <v>6275</v>
      </c>
    </row>
    <row r="617" spans="1:10" x14ac:dyDescent="0.2">
      <c r="A617">
        <v>6</v>
      </c>
      <c r="B617" s="15" t="s">
        <v>415</v>
      </c>
      <c r="C617" t="s">
        <v>399</v>
      </c>
      <c r="D617" t="s">
        <v>401</v>
      </c>
      <c r="E617" s="17" t="s">
        <v>365</v>
      </c>
      <c r="F617" s="17">
        <v>57166</v>
      </c>
      <c r="G617" s="17">
        <v>57105</v>
      </c>
      <c r="H617">
        <f t="shared" si="32"/>
        <v>61</v>
      </c>
      <c r="I617">
        <v>101</v>
      </c>
      <c r="J617">
        <f t="shared" si="33"/>
        <v>6250</v>
      </c>
    </row>
    <row r="618" spans="1:10" x14ac:dyDescent="0.2">
      <c r="A618">
        <v>6</v>
      </c>
      <c r="B618" s="15" t="s">
        <v>415</v>
      </c>
      <c r="C618" t="s">
        <v>399</v>
      </c>
      <c r="D618" t="s">
        <v>401</v>
      </c>
      <c r="E618" s="17" t="s">
        <v>366</v>
      </c>
      <c r="F618" s="17">
        <v>63496</v>
      </c>
      <c r="G618" s="17">
        <v>63453</v>
      </c>
      <c r="H618">
        <f t="shared" si="32"/>
        <v>43</v>
      </c>
      <c r="I618">
        <v>101</v>
      </c>
      <c r="J618">
        <f t="shared" si="33"/>
        <v>6330</v>
      </c>
    </row>
    <row r="619" spans="1:10" x14ac:dyDescent="0.2">
      <c r="A619">
        <v>6</v>
      </c>
      <c r="B619" s="15" t="s">
        <v>415</v>
      </c>
      <c r="C619" t="s">
        <v>399</v>
      </c>
      <c r="D619" t="s">
        <v>401</v>
      </c>
      <c r="E619" s="17" t="s">
        <v>367</v>
      </c>
      <c r="F619" s="17">
        <v>69800</v>
      </c>
      <c r="G619" s="17">
        <v>69734</v>
      </c>
      <c r="H619">
        <f t="shared" si="32"/>
        <v>66</v>
      </c>
      <c r="I619">
        <v>101</v>
      </c>
      <c r="J619">
        <f t="shared" si="33"/>
        <v>6304</v>
      </c>
    </row>
    <row r="620" spans="1:10" x14ac:dyDescent="0.2">
      <c r="A620">
        <v>6</v>
      </c>
      <c r="B620" s="15" t="s">
        <v>415</v>
      </c>
      <c r="C620" t="s">
        <v>399</v>
      </c>
      <c r="D620" t="s">
        <v>401</v>
      </c>
      <c r="E620" s="17" t="s">
        <v>368</v>
      </c>
      <c r="F620" s="17">
        <v>76069</v>
      </c>
      <c r="G620" s="17">
        <v>76007</v>
      </c>
      <c r="H620">
        <f t="shared" si="32"/>
        <v>62</v>
      </c>
      <c r="I620">
        <v>101</v>
      </c>
      <c r="J620">
        <f t="shared" si="33"/>
        <v>6269</v>
      </c>
    </row>
    <row r="621" spans="1:10" x14ac:dyDescent="0.2">
      <c r="A621">
        <v>6</v>
      </c>
      <c r="B621" s="15" t="s">
        <v>415</v>
      </c>
      <c r="C621" t="s">
        <v>399</v>
      </c>
      <c r="D621" t="s">
        <v>401</v>
      </c>
      <c r="E621" s="17" t="s">
        <v>369</v>
      </c>
      <c r="F621" s="17">
        <v>82363</v>
      </c>
      <c r="G621" s="17">
        <v>82325</v>
      </c>
      <c r="H621">
        <f t="shared" si="32"/>
        <v>38</v>
      </c>
      <c r="I621">
        <v>101</v>
      </c>
      <c r="J621">
        <f t="shared" si="33"/>
        <v>6294</v>
      </c>
    </row>
    <row r="622" spans="1:10" x14ac:dyDescent="0.2">
      <c r="A622">
        <v>6</v>
      </c>
      <c r="B622" s="15" t="s">
        <v>415</v>
      </c>
      <c r="C622" t="s">
        <v>399</v>
      </c>
      <c r="D622" t="s">
        <v>401</v>
      </c>
      <c r="E622" s="17" t="s">
        <v>370</v>
      </c>
      <c r="F622" s="17">
        <v>88693</v>
      </c>
      <c r="G622" s="17">
        <v>88630</v>
      </c>
      <c r="H622">
        <f t="shared" si="32"/>
        <v>63</v>
      </c>
      <c r="I622">
        <v>101</v>
      </c>
      <c r="J622">
        <f t="shared" si="33"/>
        <v>6330</v>
      </c>
    </row>
    <row r="623" spans="1:10" x14ac:dyDescent="0.2">
      <c r="A623">
        <v>6</v>
      </c>
      <c r="B623" s="15" t="s">
        <v>415</v>
      </c>
      <c r="C623" t="s">
        <v>399</v>
      </c>
      <c r="D623" t="s">
        <v>401</v>
      </c>
      <c r="E623" s="17" t="s">
        <v>371</v>
      </c>
      <c r="F623" s="17">
        <v>95100</v>
      </c>
      <c r="G623" s="17">
        <v>95039</v>
      </c>
      <c r="H623">
        <f t="shared" si="32"/>
        <v>61</v>
      </c>
      <c r="I623">
        <v>101</v>
      </c>
      <c r="J623">
        <f t="shared" si="33"/>
        <v>6407</v>
      </c>
    </row>
    <row r="624" spans="1:10" x14ac:dyDescent="0.2">
      <c r="A624">
        <v>6</v>
      </c>
      <c r="B624" s="15" t="s">
        <v>415</v>
      </c>
      <c r="C624" t="s">
        <v>399</v>
      </c>
      <c r="D624" t="s">
        <v>401</v>
      </c>
      <c r="E624" s="17" t="s">
        <v>372</v>
      </c>
      <c r="F624" s="17">
        <v>101439</v>
      </c>
      <c r="G624" s="17">
        <v>101399</v>
      </c>
      <c r="H624">
        <f t="shared" si="32"/>
        <v>40</v>
      </c>
      <c r="I624">
        <v>101</v>
      </c>
      <c r="J624">
        <f t="shared" si="33"/>
        <v>6339</v>
      </c>
    </row>
    <row r="625" spans="1:10" x14ac:dyDescent="0.2">
      <c r="A625">
        <v>6</v>
      </c>
      <c r="B625" s="15" t="s">
        <v>415</v>
      </c>
      <c r="C625" t="s">
        <v>399</v>
      </c>
      <c r="D625" t="s">
        <v>401</v>
      </c>
      <c r="E625" s="17" t="s">
        <v>373</v>
      </c>
      <c r="F625" s="17">
        <v>107763</v>
      </c>
      <c r="G625" s="17">
        <v>107724</v>
      </c>
      <c r="H625">
        <f t="shared" si="32"/>
        <v>39</v>
      </c>
      <c r="I625">
        <v>101</v>
      </c>
      <c r="J625">
        <f t="shared" si="33"/>
        <v>6324</v>
      </c>
    </row>
    <row r="626" spans="1:10" x14ac:dyDescent="0.2">
      <c r="A626">
        <v>6</v>
      </c>
      <c r="B626" s="15" t="s">
        <v>415</v>
      </c>
      <c r="C626" t="s">
        <v>399</v>
      </c>
      <c r="D626" t="s">
        <v>401</v>
      </c>
      <c r="E626" s="17" t="s">
        <v>374</v>
      </c>
      <c r="F626" s="17">
        <v>114208</v>
      </c>
      <c r="G626" s="17">
        <v>114151</v>
      </c>
      <c r="H626">
        <f t="shared" si="32"/>
        <v>57</v>
      </c>
      <c r="I626">
        <v>101</v>
      </c>
      <c r="J626">
        <f t="shared" si="33"/>
        <v>6445</v>
      </c>
    </row>
    <row r="627" spans="1:10" x14ac:dyDescent="0.2">
      <c r="A627">
        <v>6</v>
      </c>
      <c r="B627" s="15" t="s">
        <v>415</v>
      </c>
      <c r="C627" t="s">
        <v>399</v>
      </c>
      <c r="D627" t="s">
        <v>401</v>
      </c>
      <c r="E627" s="17" t="s">
        <v>375</v>
      </c>
      <c r="F627" s="17">
        <v>120581</v>
      </c>
      <c r="G627" s="17">
        <v>120542</v>
      </c>
      <c r="H627">
        <f t="shared" si="32"/>
        <v>39</v>
      </c>
      <c r="I627">
        <v>101</v>
      </c>
      <c r="J627">
        <f t="shared" si="33"/>
        <v>6373</v>
      </c>
    </row>
    <row r="628" spans="1:10" x14ac:dyDescent="0.2">
      <c r="A628">
        <v>6</v>
      </c>
      <c r="B628" s="15" t="s">
        <v>415</v>
      </c>
      <c r="C628" t="s">
        <v>399</v>
      </c>
      <c r="D628" t="s">
        <v>401</v>
      </c>
      <c r="E628" s="17" t="s">
        <v>376</v>
      </c>
      <c r="F628" s="17">
        <v>126876</v>
      </c>
      <c r="G628" s="17">
        <v>126837</v>
      </c>
      <c r="H628">
        <f t="shared" si="32"/>
        <v>39</v>
      </c>
      <c r="I628">
        <v>101</v>
      </c>
      <c r="J628">
        <f t="shared" si="33"/>
        <v>6295</v>
      </c>
    </row>
    <row r="629" spans="1:10" x14ac:dyDescent="0.2">
      <c r="A629">
        <v>6</v>
      </c>
      <c r="B629" s="15" t="s">
        <v>415</v>
      </c>
      <c r="C629" t="s">
        <v>399</v>
      </c>
      <c r="D629" t="s">
        <v>401</v>
      </c>
      <c r="E629" s="17" t="s">
        <v>377</v>
      </c>
      <c r="F629" s="17">
        <v>133126</v>
      </c>
      <c r="G629" s="17">
        <v>133090</v>
      </c>
      <c r="H629">
        <f t="shared" si="32"/>
        <v>36</v>
      </c>
      <c r="I629">
        <v>101</v>
      </c>
      <c r="J629">
        <f t="shared" si="33"/>
        <v>6250</v>
      </c>
    </row>
    <row r="630" spans="1:10" x14ac:dyDescent="0.2">
      <c r="A630">
        <v>6</v>
      </c>
      <c r="B630" s="15" t="s">
        <v>415</v>
      </c>
      <c r="C630" t="s">
        <v>399</v>
      </c>
      <c r="D630" t="s">
        <v>401</v>
      </c>
      <c r="E630" s="17" t="s">
        <v>378</v>
      </c>
      <c r="F630" s="17">
        <v>139479</v>
      </c>
      <c r="G630" s="17">
        <v>139438</v>
      </c>
      <c r="H630">
        <f t="shared" si="32"/>
        <v>41</v>
      </c>
      <c r="I630">
        <v>101</v>
      </c>
      <c r="J630">
        <f t="shared" si="33"/>
        <v>6353</v>
      </c>
    </row>
    <row r="631" spans="1:10" x14ac:dyDescent="0.2">
      <c r="A631">
        <v>6</v>
      </c>
      <c r="B631" s="15" t="s">
        <v>415</v>
      </c>
      <c r="C631" t="s">
        <v>399</v>
      </c>
      <c r="D631" t="s">
        <v>401</v>
      </c>
      <c r="E631" s="17" t="s">
        <v>384</v>
      </c>
      <c r="F631" s="17">
        <v>145711</v>
      </c>
      <c r="G631" s="17">
        <v>145674</v>
      </c>
      <c r="H631">
        <f t="shared" si="32"/>
        <v>37</v>
      </c>
      <c r="I631">
        <v>101</v>
      </c>
      <c r="J631">
        <f t="shared" si="33"/>
        <v>6232</v>
      </c>
    </row>
    <row r="632" spans="1:10" x14ac:dyDescent="0.2">
      <c r="A632">
        <v>6</v>
      </c>
      <c r="B632" s="15" t="s">
        <v>415</v>
      </c>
      <c r="C632" t="s">
        <v>399</v>
      </c>
      <c r="D632" t="s">
        <v>380</v>
      </c>
      <c r="E632" s="17" t="s">
        <v>362</v>
      </c>
      <c r="F632" s="17">
        <v>40137</v>
      </c>
      <c r="G632" s="17">
        <v>40177</v>
      </c>
      <c r="H632">
        <f t="shared" ref="H632:H649" si="34">F632-G632</f>
        <v>-40</v>
      </c>
      <c r="I632">
        <v>101</v>
      </c>
    </row>
    <row r="633" spans="1:10" x14ac:dyDescent="0.2">
      <c r="A633">
        <v>6</v>
      </c>
      <c r="B633" s="15" t="s">
        <v>415</v>
      </c>
      <c r="C633" t="s">
        <v>399</v>
      </c>
      <c r="D633" t="s">
        <v>380</v>
      </c>
      <c r="E633" s="17" t="s">
        <v>363</v>
      </c>
      <c r="F633" s="17">
        <v>46500</v>
      </c>
      <c r="G633" s="17">
        <v>46542</v>
      </c>
      <c r="H633">
        <f t="shared" si="34"/>
        <v>-42</v>
      </c>
      <c r="I633">
        <v>101</v>
      </c>
      <c r="J633">
        <f t="shared" ref="J633:J649" si="35">F633-F632</f>
        <v>6363</v>
      </c>
    </row>
    <row r="634" spans="1:10" x14ac:dyDescent="0.2">
      <c r="A634">
        <v>6</v>
      </c>
      <c r="B634" s="15" t="s">
        <v>415</v>
      </c>
      <c r="C634" t="s">
        <v>399</v>
      </c>
      <c r="D634" t="s">
        <v>380</v>
      </c>
      <c r="E634" s="17" t="s">
        <v>364</v>
      </c>
      <c r="F634" s="17">
        <v>52795</v>
      </c>
      <c r="G634" s="17">
        <v>52836</v>
      </c>
      <c r="H634">
        <f t="shared" si="34"/>
        <v>-41</v>
      </c>
      <c r="I634">
        <v>101</v>
      </c>
      <c r="J634">
        <f t="shared" si="35"/>
        <v>6295</v>
      </c>
    </row>
    <row r="635" spans="1:10" x14ac:dyDescent="0.2">
      <c r="A635">
        <v>6</v>
      </c>
      <c r="B635" s="15" t="s">
        <v>415</v>
      </c>
      <c r="C635" t="s">
        <v>399</v>
      </c>
      <c r="D635" t="s">
        <v>380</v>
      </c>
      <c r="E635" s="17" t="s">
        <v>365</v>
      </c>
      <c r="F635" s="17">
        <v>59037</v>
      </c>
      <c r="G635" s="17">
        <v>59075</v>
      </c>
      <c r="H635">
        <f t="shared" si="34"/>
        <v>-38</v>
      </c>
      <c r="I635">
        <v>101</v>
      </c>
      <c r="J635">
        <f t="shared" si="35"/>
        <v>6242</v>
      </c>
    </row>
    <row r="636" spans="1:10" x14ac:dyDescent="0.2">
      <c r="A636">
        <v>6</v>
      </c>
      <c r="B636" s="15" t="s">
        <v>415</v>
      </c>
      <c r="C636" t="s">
        <v>399</v>
      </c>
      <c r="D636" t="s">
        <v>380</v>
      </c>
      <c r="E636" s="17" t="s">
        <v>366</v>
      </c>
      <c r="F636" s="17">
        <v>65380</v>
      </c>
      <c r="G636" s="17">
        <v>65418</v>
      </c>
      <c r="H636">
        <f t="shared" si="34"/>
        <v>-38</v>
      </c>
      <c r="I636">
        <v>101</v>
      </c>
      <c r="J636">
        <f t="shared" si="35"/>
        <v>6343</v>
      </c>
    </row>
    <row r="637" spans="1:10" x14ac:dyDescent="0.2">
      <c r="A637">
        <v>6</v>
      </c>
      <c r="B637" s="15" t="s">
        <v>415</v>
      </c>
      <c r="C637" t="s">
        <v>399</v>
      </c>
      <c r="D637" t="s">
        <v>380</v>
      </c>
      <c r="E637" s="17" t="s">
        <v>367</v>
      </c>
      <c r="F637" s="17">
        <v>71643</v>
      </c>
      <c r="G637" s="17">
        <v>71682</v>
      </c>
      <c r="H637">
        <f t="shared" si="34"/>
        <v>-39</v>
      </c>
      <c r="I637">
        <v>101</v>
      </c>
      <c r="J637">
        <f t="shared" si="35"/>
        <v>6263</v>
      </c>
    </row>
    <row r="638" spans="1:10" x14ac:dyDescent="0.2">
      <c r="A638">
        <v>6</v>
      </c>
      <c r="B638" s="15" t="s">
        <v>415</v>
      </c>
      <c r="C638" t="s">
        <v>399</v>
      </c>
      <c r="D638" t="s">
        <v>380</v>
      </c>
      <c r="E638" s="17" t="s">
        <v>368</v>
      </c>
      <c r="F638" s="17">
        <v>77935</v>
      </c>
      <c r="G638" s="17">
        <v>77975</v>
      </c>
      <c r="H638">
        <f t="shared" si="34"/>
        <v>-40</v>
      </c>
      <c r="I638">
        <v>101</v>
      </c>
      <c r="J638">
        <f t="shared" si="35"/>
        <v>6292</v>
      </c>
    </row>
    <row r="639" spans="1:10" x14ac:dyDescent="0.2">
      <c r="A639">
        <v>6</v>
      </c>
      <c r="B639" s="15" t="s">
        <v>415</v>
      </c>
      <c r="C639" t="s">
        <v>399</v>
      </c>
      <c r="D639" t="s">
        <v>380</v>
      </c>
      <c r="E639" s="17" t="s">
        <v>369</v>
      </c>
      <c r="F639" s="17">
        <v>84250</v>
      </c>
      <c r="G639" s="17">
        <v>84294</v>
      </c>
      <c r="H639">
        <f t="shared" si="34"/>
        <v>-44</v>
      </c>
      <c r="I639">
        <v>101</v>
      </c>
      <c r="J639">
        <f t="shared" si="35"/>
        <v>6315</v>
      </c>
    </row>
    <row r="640" spans="1:10" x14ac:dyDescent="0.2">
      <c r="A640">
        <v>6</v>
      </c>
      <c r="B640" s="15" t="s">
        <v>415</v>
      </c>
      <c r="C640" t="s">
        <v>399</v>
      </c>
      <c r="D640" t="s">
        <v>380</v>
      </c>
      <c r="E640" s="17" t="s">
        <v>370</v>
      </c>
      <c r="F640" s="17">
        <v>90567</v>
      </c>
      <c r="G640" s="17">
        <v>90607</v>
      </c>
      <c r="H640">
        <f t="shared" si="34"/>
        <v>-40</v>
      </c>
      <c r="I640">
        <v>101</v>
      </c>
      <c r="J640">
        <f t="shared" si="35"/>
        <v>6317</v>
      </c>
    </row>
    <row r="641" spans="1:10" x14ac:dyDescent="0.2">
      <c r="A641">
        <v>6</v>
      </c>
      <c r="B641" s="15" t="s">
        <v>415</v>
      </c>
      <c r="C641" t="s">
        <v>399</v>
      </c>
      <c r="D641" t="s">
        <v>380</v>
      </c>
      <c r="E641" s="17" t="s">
        <v>371</v>
      </c>
      <c r="F641" s="17">
        <v>96969</v>
      </c>
      <c r="G641" s="17">
        <v>97008</v>
      </c>
      <c r="H641">
        <f t="shared" si="34"/>
        <v>-39</v>
      </c>
      <c r="I641">
        <v>101</v>
      </c>
      <c r="J641">
        <f t="shared" si="35"/>
        <v>6402</v>
      </c>
    </row>
    <row r="642" spans="1:10" x14ac:dyDescent="0.2">
      <c r="A642">
        <v>6</v>
      </c>
      <c r="B642" s="15" t="s">
        <v>415</v>
      </c>
      <c r="C642" t="s">
        <v>399</v>
      </c>
      <c r="D642" t="s">
        <v>380</v>
      </c>
      <c r="E642" s="17" t="s">
        <v>372</v>
      </c>
      <c r="F642" s="17">
        <v>103306</v>
      </c>
      <c r="G642" s="17">
        <v>103346</v>
      </c>
      <c r="H642">
        <f t="shared" si="34"/>
        <v>-40</v>
      </c>
      <c r="I642">
        <v>101</v>
      </c>
      <c r="J642">
        <f t="shared" si="35"/>
        <v>6337</v>
      </c>
    </row>
    <row r="643" spans="1:10" x14ac:dyDescent="0.2">
      <c r="A643">
        <v>6</v>
      </c>
      <c r="B643" s="15" t="s">
        <v>415</v>
      </c>
      <c r="C643" t="s">
        <v>399</v>
      </c>
      <c r="D643" t="s">
        <v>380</v>
      </c>
      <c r="E643" s="17" t="s">
        <v>373</v>
      </c>
      <c r="F643" s="17">
        <v>109635</v>
      </c>
      <c r="G643" s="17">
        <v>109676</v>
      </c>
      <c r="H643">
        <f t="shared" si="34"/>
        <v>-41</v>
      </c>
      <c r="I643">
        <v>101</v>
      </c>
      <c r="J643">
        <f t="shared" si="35"/>
        <v>6329</v>
      </c>
    </row>
    <row r="644" spans="1:10" x14ac:dyDescent="0.2">
      <c r="A644">
        <v>6</v>
      </c>
      <c r="B644" s="15" t="s">
        <v>415</v>
      </c>
      <c r="C644" t="s">
        <v>399</v>
      </c>
      <c r="D644" t="s">
        <v>380</v>
      </c>
      <c r="E644" s="17" t="s">
        <v>374</v>
      </c>
      <c r="F644" s="17">
        <v>116069</v>
      </c>
      <c r="G644" s="17">
        <v>116110</v>
      </c>
      <c r="H644">
        <f t="shared" si="34"/>
        <v>-41</v>
      </c>
      <c r="I644">
        <v>101</v>
      </c>
      <c r="J644">
        <f t="shared" si="35"/>
        <v>6434</v>
      </c>
    </row>
    <row r="645" spans="1:10" x14ac:dyDescent="0.2">
      <c r="A645">
        <v>6</v>
      </c>
      <c r="B645" s="15" t="s">
        <v>415</v>
      </c>
      <c r="C645" t="s">
        <v>399</v>
      </c>
      <c r="D645" t="s">
        <v>380</v>
      </c>
      <c r="E645" s="17" t="s">
        <v>375</v>
      </c>
      <c r="F645" s="17">
        <v>122447</v>
      </c>
      <c r="G645" s="17">
        <v>122490</v>
      </c>
      <c r="H645">
        <f t="shared" si="34"/>
        <v>-43</v>
      </c>
      <c r="I645">
        <v>101</v>
      </c>
      <c r="J645">
        <f t="shared" si="35"/>
        <v>6378</v>
      </c>
    </row>
    <row r="646" spans="1:10" x14ac:dyDescent="0.2">
      <c r="A646">
        <v>6</v>
      </c>
      <c r="B646" s="15" t="s">
        <v>415</v>
      </c>
      <c r="C646" t="s">
        <v>399</v>
      </c>
      <c r="D646" t="s">
        <v>380</v>
      </c>
      <c r="E646" s="17" t="s">
        <v>376</v>
      </c>
      <c r="F646" s="17">
        <v>128742</v>
      </c>
      <c r="G646" s="17">
        <v>128783</v>
      </c>
      <c r="H646">
        <f t="shared" si="34"/>
        <v>-41</v>
      </c>
      <c r="I646">
        <v>101</v>
      </c>
      <c r="J646">
        <f t="shared" si="35"/>
        <v>6295</v>
      </c>
    </row>
    <row r="647" spans="1:10" x14ac:dyDescent="0.2">
      <c r="A647">
        <v>6</v>
      </c>
      <c r="B647" s="15" t="s">
        <v>415</v>
      </c>
      <c r="C647" t="s">
        <v>399</v>
      </c>
      <c r="D647" t="s">
        <v>380</v>
      </c>
      <c r="E647" s="17" t="s">
        <v>377</v>
      </c>
      <c r="F647" s="17">
        <v>135004</v>
      </c>
      <c r="G647" s="17">
        <v>135045</v>
      </c>
      <c r="H647">
        <f t="shared" si="34"/>
        <v>-41</v>
      </c>
      <c r="I647">
        <v>101</v>
      </c>
      <c r="J647">
        <f t="shared" si="35"/>
        <v>6262</v>
      </c>
    </row>
    <row r="648" spans="1:10" x14ac:dyDescent="0.2">
      <c r="A648">
        <v>6</v>
      </c>
      <c r="B648" s="15" t="s">
        <v>415</v>
      </c>
      <c r="C648" t="s">
        <v>399</v>
      </c>
      <c r="D648" t="s">
        <v>380</v>
      </c>
      <c r="E648" s="17" t="s">
        <v>378</v>
      </c>
      <c r="F648" s="17">
        <v>141343</v>
      </c>
      <c r="G648" s="17">
        <v>141384</v>
      </c>
      <c r="H648">
        <f t="shared" si="34"/>
        <v>-41</v>
      </c>
      <c r="I648">
        <v>101</v>
      </c>
      <c r="J648">
        <f t="shared" si="35"/>
        <v>6339</v>
      </c>
    </row>
    <row r="649" spans="1:10" x14ac:dyDescent="0.2">
      <c r="A649">
        <v>6</v>
      </c>
      <c r="B649" s="15" t="s">
        <v>415</v>
      </c>
      <c r="C649" t="s">
        <v>399</v>
      </c>
      <c r="D649" t="s">
        <v>380</v>
      </c>
      <c r="E649" s="17" t="s">
        <v>384</v>
      </c>
      <c r="F649" s="17">
        <v>147581</v>
      </c>
      <c r="G649" s="17">
        <v>147619</v>
      </c>
      <c r="H649">
        <f t="shared" si="34"/>
        <v>-38</v>
      </c>
      <c r="I649">
        <v>101</v>
      </c>
      <c r="J649">
        <f t="shared" si="35"/>
        <v>6238</v>
      </c>
    </row>
    <row r="650" spans="1:10" x14ac:dyDescent="0.2">
      <c r="A650">
        <v>6</v>
      </c>
      <c r="B650" s="15" t="s">
        <v>415</v>
      </c>
      <c r="C650" t="s">
        <v>399</v>
      </c>
      <c r="D650" t="s">
        <v>401</v>
      </c>
      <c r="E650" s="17" t="s">
        <v>362</v>
      </c>
      <c r="F650" s="17">
        <v>38257</v>
      </c>
      <c r="G650" s="17">
        <v>38244</v>
      </c>
      <c r="H650">
        <f t="shared" ref="H650:H685" si="36">F650-G650</f>
        <v>13</v>
      </c>
      <c r="I650">
        <v>41</v>
      </c>
    </row>
    <row r="651" spans="1:10" x14ac:dyDescent="0.2">
      <c r="A651">
        <v>6</v>
      </c>
      <c r="B651" s="15" t="s">
        <v>415</v>
      </c>
      <c r="C651" t="s">
        <v>399</v>
      </c>
      <c r="D651" t="s">
        <v>401</v>
      </c>
      <c r="E651" s="17" t="s">
        <v>363</v>
      </c>
      <c r="F651" s="17">
        <v>44641</v>
      </c>
      <c r="G651" s="17">
        <v>44627</v>
      </c>
      <c r="H651">
        <f t="shared" si="36"/>
        <v>14</v>
      </c>
      <c r="I651">
        <v>41</v>
      </c>
      <c r="J651">
        <f t="shared" si="33"/>
        <v>6384</v>
      </c>
    </row>
    <row r="652" spans="1:10" x14ac:dyDescent="0.2">
      <c r="A652">
        <v>6</v>
      </c>
      <c r="B652" s="15" t="s">
        <v>415</v>
      </c>
      <c r="C652" t="s">
        <v>399</v>
      </c>
      <c r="D652" t="s">
        <v>401</v>
      </c>
      <c r="E652" s="17" t="s">
        <v>364</v>
      </c>
      <c r="F652" s="17">
        <v>50916</v>
      </c>
      <c r="G652" s="17">
        <v>50908</v>
      </c>
      <c r="H652">
        <f t="shared" si="36"/>
        <v>8</v>
      </c>
      <c r="I652">
        <v>41</v>
      </c>
      <c r="J652">
        <f t="shared" si="33"/>
        <v>6275</v>
      </c>
    </row>
    <row r="653" spans="1:10" x14ac:dyDescent="0.2">
      <c r="A653">
        <v>6</v>
      </c>
      <c r="B653" s="15" t="s">
        <v>415</v>
      </c>
      <c r="C653" t="s">
        <v>399</v>
      </c>
      <c r="D653" t="s">
        <v>401</v>
      </c>
      <c r="E653" s="17" t="s">
        <v>365</v>
      </c>
      <c r="F653" s="17">
        <v>57166</v>
      </c>
      <c r="G653" s="17">
        <v>57153</v>
      </c>
      <c r="H653">
        <f t="shared" si="36"/>
        <v>13</v>
      </c>
      <c r="I653">
        <v>41</v>
      </c>
      <c r="J653">
        <f t="shared" si="33"/>
        <v>6250</v>
      </c>
    </row>
    <row r="654" spans="1:10" x14ac:dyDescent="0.2">
      <c r="A654">
        <v>6</v>
      </c>
      <c r="B654" s="15" t="s">
        <v>415</v>
      </c>
      <c r="C654" t="s">
        <v>399</v>
      </c>
      <c r="D654" t="s">
        <v>401</v>
      </c>
      <c r="E654" s="17" t="s">
        <v>366</v>
      </c>
      <c r="F654" s="17">
        <v>63496</v>
      </c>
      <c r="G654" s="17">
        <v>63481</v>
      </c>
      <c r="H654">
        <f t="shared" si="36"/>
        <v>15</v>
      </c>
      <c r="I654">
        <v>41</v>
      </c>
      <c r="J654">
        <f t="shared" si="33"/>
        <v>6330</v>
      </c>
    </row>
    <row r="655" spans="1:10" x14ac:dyDescent="0.2">
      <c r="A655">
        <v>6</v>
      </c>
      <c r="B655" s="15" t="s">
        <v>415</v>
      </c>
      <c r="C655" t="s">
        <v>399</v>
      </c>
      <c r="D655" t="s">
        <v>401</v>
      </c>
      <c r="E655" s="17" t="s">
        <v>367</v>
      </c>
      <c r="F655" s="17">
        <v>69800</v>
      </c>
      <c r="G655" s="17">
        <v>69762</v>
      </c>
      <c r="H655">
        <f t="shared" si="36"/>
        <v>38</v>
      </c>
      <c r="I655">
        <v>41</v>
      </c>
      <c r="J655">
        <f t="shared" si="33"/>
        <v>6304</v>
      </c>
    </row>
    <row r="656" spans="1:10" x14ac:dyDescent="0.2">
      <c r="A656">
        <v>6</v>
      </c>
      <c r="B656" s="15" t="s">
        <v>415</v>
      </c>
      <c r="C656" t="s">
        <v>399</v>
      </c>
      <c r="D656" t="s">
        <v>401</v>
      </c>
      <c r="E656" s="17" t="s">
        <v>368</v>
      </c>
      <c r="F656" s="17">
        <v>76069</v>
      </c>
      <c r="G656" s="17">
        <v>76057</v>
      </c>
      <c r="H656">
        <f t="shared" si="36"/>
        <v>12</v>
      </c>
      <c r="I656">
        <v>41</v>
      </c>
      <c r="J656">
        <f t="shared" si="33"/>
        <v>6269</v>
      </c>
    </row>
    <row r="657" spans="1:10" x14ac:dyDescent="0.2">
      <c r="A657">
        <v>6</v>
      </c>
      <c r="B657" s="15" t="s">
        <v>415</v>
      </c>
      <c r="C657" t="s">
        <v>399</v>
      </c>
      <c r="D657" t="s">
        <v>401</v>
      </c>
      <c r="E657" s="17" t="s">
        <v>369</v>
      </c>
      <c r="F657" s="17">
        <v>82363</v>
      </c>
      <c r="G657" s="17">
        <v>82349</v>
      </c>
      <c r="H657">
        <f t="shared" si="36"/>
        <v>14</v>
      </c>
      <c r="I657">
        <v>41</v>
      </c>
      <c r="J657">
        <f t="shared" si="33"/>
        <v>6294</v>
      </c>
    </row>
    <row r="658" spans="1:10" x14ac:dyDescent="0.2">
      <c r="A658">
        <v>6</v>
      </c>
      <c r="B658" s="15" t="s">
        <v>415</v>
      </c>
      <c r="C658" t="s">
        <v>399</v>
      </c>
      <c r="D658" t="s">
        <v>401</v>
      </c>
      <c r="E658" s="17" t="s">
        <v>370</v>
      </c>
      <c r="F658" s="17">
        <v>88693</v>
      </c>
      <c r="G658" s="17">
        <v>88682</v>
      </c>
      <c r="H658">
        <f t="shared" si="36"/>
        <v>11</v>
      </c>
      <c r="I658">
        <v>41</v>
      </c>
      <c r="J658">
        <f t="shared" si="33"/>
        <v>6330</v>
      </c>
    </row>
    <row r="659" spans="1:10" x14ac:dyDescent="0.2">
      <c r="A659">
        <v>6</v>
      </c>
      <c r="B659" s="15" t="s">
        <v>415</v>
      </c>
      <c r="C659" t="s">
        <v>399</v>
      </c>
      <c r="D659" t="s">
        <v>401</v>
      </c>
      <c r="E659" s="17" t="s">
        <v>371</v>
      </c>
      <c r="F659" s="17">
        <v>95100</v>
      </c>
      <c r="G659" s="17">
        <v>95087</v>
      </c>
      <c r="H659">
        <f t="shared" si="36"/>
        <v>13</v>
      </c>
      <c r="I659">
        <v>41</v>
      </c>
      <c r="J659">
        <f t="shared" si="33"/>
        <v>6407</v>
      </c>
    </row>
    <row r="660" spans="1:10" x14ac:dyDescent="0.2">
      <c r="A660">
        <v>6</v>
      </c>
      <c r="B660" s="15" t="s">
        <v>415</v>
      </c>
      <c r="C660" t="s">
        <v>399</v>
      </c>
      <c r="D660" t="s">
        <v>401</v>
      </c>
      <c r="E660" s="17" t="s">
        <v>372</v>
      </c>
      <c r="F660" s="17">
        <v>101439</v>
      </c>
      <c r="G660" s="17">
        <v>101424</v>
      </c>
      <c r="H660">
        <f t="shared" si="36"/>
        <v>15</v>
      </c>
      <c r="I660">
        <v>41</v>
      </c>
      <c r="J660">
        <f t="shared" si="33"/>
        <v>6339</v>
      </c>
    </row>
    <row r="661" spans="1:10" x14ac:dyDescent="0.2">
      <c r="A661">
        <v>6</v>
      </c>
      <c r="B661" s="15" t="s">
        <v>415</v>
      </c>
      <c r="C661" t="s">
        <v>399</v>
      </c>
      <c r="D661" t="s">
        <v>401</v>
      </c>
      <c r="E661" s="17" t="s">
        <v>373</v>
      </c>
      <c r="F661" s="17">
        <v>107763</v>
      </c>
      <c r="G661" s="17">
        <v>107751</v>
      </c>
      <c r="H661">
        <f t="shared" si="36"/>
        <v>12</v>
      </c>
      <c r="I661">
        <v>41</v>
      </c>
      <c r="J661">
        <f t="shared" si="33"/>
        <v>6324</v>
      </c>
    </row>
    <row r="662" spans="1:10" x14ac:dyDescent="0.2">
      <c r="A662">
        <v>6</v>
      </c>
      <c r="B662" s="15" t="s">
        <v>415</v>
      </c>
      <c r="C662" t="s">
        <v>399</v>
      </c>
      <c r="D662" t="s">
        <v>401</v>
      </c>
      <c r="E662" s="17" t="s">
        <v>374</v>
      </c>
      <c r="F662" s="17">
        <v>114208</v>
      </c>
      <c r="G662" s="17">
        <v>114197</v>
      </c>
      <c r="H662">
        <f t="shared" si="36"/>
        <v>11</v>
      </c>
      <c r="I662">
        <v>41</v>
      </c>
      <c r="J662">
        <f t="shared" si="33"/>
        <v>6445</v>
      </c>
    </row>
    <row r="663" spans="1:10" x14ac:dyDescent="0.2">
      <c r="A663">
        <v>6</v>
      </c>
      <c r="B663" s="15" t="s">
        <v>415</v>
      </c>
      <c r="C663" t="s">
        <v>399</v>
      </c>
      <c r="D663" t="s">
        <v>401</v>
      </c>
      <c r="E663" s="17" t="s">
        <v>375</v>
      </c>
      <c r="F663" s="17">
        <v>120581</v>
      </c>
      <c r="G663" s="17">
        <v>120569</v>
      </c>
      <c r="H663">
        <f t="shared" si="36"/>
        <v>12</v>
      </c>
      <c r="I663">
        <v>41</v>
      </c>
      <c r="J663">
        <f t="shared" si="33"/>
        <v>6373</v>
      </c>
    </row>
    <row r="664" spans="1:10" x14ac:dyDescent="0.2">
      <c r="A664">
        <v>6</v>
      </c>
      <c r="B664" s="15" t="s">
        <v>415</v>
      </c>
      <c r="C664" t="s">
        <v>399</v>
      </c>
      <c r="D664" t="s">
        <v>401</v>
      </c>
      <c r="E664" s="17" t="s">
        <v>376</v>
      </c>
      <c r="F664" s="17">
        <v>126876</v>
      </c>
      <c r="G664" s="17">
        <v>126863</v>
      </c>
      <c r="H664">
        <f t="shared" si="36"/>
        <v>13</v>
      </c>
      <c r="I664">
        <v>41</v>
      </c>
      <c r="J664">
        <f t="shared" si="33"/>
        <v>6295</v>
      </c>
    </row>
    <row r="665" spans="1:10" x14ac:dyDescent="0.2">
      <c r="A665">
        <v>6</v>
      </c>
      <c r="B665" s="15" t="s">
        <v>415</v>
      </c>
      <c r="C665" t="s">
        <v>399</v>
      </c>
      <c r="D665" t="s">
        <v>401</v>
      </c>
      <c r="E665" s="17" t="s">
        <v>377</v>
      </c>
      <c r="F665" s="17">
        <v>133126</v>
      </c>
      <c r="G665" s="17">
        <v>133115</v>
      </c>
      <c r="H665">
        <f t="shared" si="36"/>
        <v>11</v>
      </c>
      <c r="I665">
        <v>41</v>
      </c>
      <c r="J665">
        <f t="shared" si="33"/>
        <v>6250</v>
      </c>
    </row>
    <row r="666" spans="1:10" x14ac:dyDescent="0.2">
      <c r="A666">
        <v>6</v>
      </c>
      <c r="B666" s="15" t="s">
        <v>415</v>
      </c>
      <c r="C666" t="s">
        <v>399</v>
      </c>
      <c r="D666" t="s">
        <v>401</v>
      </c>
      <c r="E666" s="17" t="s">
        <v>378</v>
      </c>
      <c r="F666" s="17">
        <v>139479</v>
      </c>
      <c r="G666" s="17">
        <v>139462</v>
      </c>
      <c r="H666">
        <f t="shared" si="36"/>
        <v>17</v>
      </c>
      <c r="I666">
        <v>41</v>
      </c>
      <c r="J666">
        <f t="shared" si="33"/>
        <v>6353</v>
      </c>
    </row>
    <row r="667" spans="1:10" x14ac:dyDescent="0.2">
      <c r="A667">
        <v>6</v>
      </c>
      <c r="B667" s="15" t="s">
        <v>415</v>
      </c>
      <c r="C667" t="s">
        <v>399</v>
      </c>
      <c r="D667" t="s">
        <v>401</v>
      </c>
      <c r="E667" s="17" t="s">
        <v>384</v>
      </c>
      <c r="F667" s="17">
        <v>145711</v>
      </c>
      <c r="G667" s="17">
        <v>145700</v>
      </c>
      <c r="H667">
        <f t="shared" si="36"/>
        <v>11</v>
      </c>
      <c r="I667">
        <v>41</v>
      </c>
      <c r="J667">
        <f t="shared" si="33"/>
        <v>6232</v>
      </c>
    </row>
    <row r="668" spans="1:10" x14ac:dyDescent="0.2">
      <c r="A668">
        <v>6</v>
      </c>
      <c r="B668" s="15" t="s">
        <v>415</v>
      </c>
      <c r="C668" t="s">
        <v>399</v>
      </c>
      <c r="D668" t="s">
        <v>380</v>
      </c>
      <c r="E668" s="17" t="s">
        <v>362</v>
      </c>
      <c r="F668" s="17">
        <v>40137</v>
      </c>
      <c r="G668" s="17">
        <v>40147</v>
      </c>
      <c r="H668">
        <f t="shared" si="36"/>
        <v>-10</v>
      </c>
      <c r="I668">
        <v>41</v>
      </c>
    </row>
    <row r="669" spans="1:10" x14ac:dyDescent="0.2">
      <c r="A669">
        <v>6</v>
      </c>
      <c r="B669" s="15" t="s">
        <v>415</v>
      </c>
      <c r="C669" t="s">
        <v>399</v>
      </c>
      <c r="D669" t="s">
        <v>380</v>
      </c>
      <c r="E669" s="17" t="s">
        <v>363</v>
      </c>
      <c r="F669" s="17">
        <v>46500</v>
      </c>
      <c r="G669" s="17">
        <v>46512</v>
      </c>
      <c r="H669">
        <f t="shared" si="36"/>
        <v>-12</v>
      </c>
      <c r="I669">
        <v>41</v>
      </c>
      <c r="J669">
        <f t="shared" ref="J669:J685" si="37">F669-F668</f>
        <v>6363</v>
      </c>
    </row>
    <row r="670" spans="1:10" x14ac:dyDescent="0.2">
      <c r="A670">
        <v>6</v>
      </c>
      <c r="B670" s="15" t="s">
        <v>415</v>
      </c>
      <c r="C670" t="s">
        <v>399</v>
      </c>
      <c r="D670" t="s">
        <v>380</v>
      </c>
      <c r="E670" s="17" t="s">
        <v>364</v>
      </c>
      <c r="F670" s="17">
        <v>52795</v>
      </c>
      <c r="G670" s="17">
        <v>52806</v>
      </c>
      <c r="H670">
        <f t="shared" si="36"/>
        <v>-11</v>
      </c>
      <c r="I670">
        <v>41</v>
      </c>
      <c r="J670">
        <f t="shared" si="37"/>
        <v>6295</v>
      </c>
    </row>
    <row r="671" spans="1:10" x14ac:dyDescent="0.2">
      <c r="A671">
        <v>6</v>
      </c>
      <c r="B671" s="15" t="s">
        <v>415</v>
      </c>
      <c r="C671" t="s">
        <v>399</v>
      </c>
      <c r="D671" t="s">
        <v>380</v>
      </c>
      <c r="E671" s="17" t="s">
        <v>365</v>
      </c>
      <c r="F671" s="17">
        <v>59037</v>
      </c>
      <c r="G671" s="17">
        <v>59046</v>
      </c>
      <c r="H671">
        <f t="shared" si="36"/>
        <v>-9</v>
      </c>
      <c r="I671">
        <v>41</v>
      </c>
      <c r="J671">
        <f t="shared" si="37"/>
        <v>6242</v>
      </c>
    </row>
    <row r="672" spans="1:10" x14ac:dyDescent="0.2">
      <c r="A672">
        <v>6</v>
      </c>
      <c r="B672" s="15" t="s">
        <v>415</v>
      </c>
      <c r="C672" t="s">
        <v>399</v>
      </c>
      <c r="D672" t="s">
        <v>380</v>
      </c>
      <c r="E672" s="17" t="s">
        <v>366</v>
      </c>
      <c r="F672" s="17">
        <v>65380</v>
      </c>
      <c r="G672" s="17">
        <v>65388</v>
      </c>
      <c r="H672">
        <f t="shared" si="36"/>
        <v>-8</v>
      </c>
      <c r="I672">
        <v>41</v>
      </c>
      <c r="J672">
        <f t="shared" si="37"/>
        <v>6343</v>
      </c>
    </row>
    <row r="673" spans="1:10" x14ac:dyDescent="0.2">
      <c r="A673">
        <v>6</v>
      </c>
      <c r="B673" s="15" t="s">
        <v>415</v>
      </c>
      <c r="C673" t="s">
        <v>399</v>
      </c>
      <c r="D673" t="s">
        <v>380</v>
      </c>
      <c r="E673" s="17" t="s">
        <v>367</v>
      </c>
      <c r="F673" s="17">
        <v>71643</v>
      </c>
      <c r="G673" s="17">
        <v>71653</v>
      </c>
      <c r="H673">
        <f t="shared" si="36"/>
        <v>-10</v>
      </c>
      <c r="I673">
        <v>41</v>
      </c>
      <c r="J673">
        <f t="shared" si="37"/>
        <v>6263</v>
      </c>
    </row>
    <row r="674" spans="1:10" x14ac:dyDescent="0.2">
      <c r="A674">
        <v>6</v>
      </c>
      <c r="B674" s="15" t="s">
        <v>415</v>
      </c>
      <c r="C674" t="s">
        <v>399</v>
      </c>
      <c r="D674" t="s">
        <v>380</v>
      </c>
      <c r="E674" s="17" t="s">
        <v>368</v>
      </c>
      <c r="F674" s="17">
        <v>77935</v>
      </c>
      <c r="G674" s="17">
        <v>77943</v>
      </c>
      <c r="H674">
        <f t="shared" si="36"/>
        <v>-8</v>
      </c>
      <c r="I674">
        <v>41</v>
      </c>
      <c r="J674">
        <f t="shared" si="37"/>
        <v>6292</v>
      </c>
    </row>
    <row r="675" spans="1:10" x14ac:dyDescent="0.2">
      <c r="A675">
        <v>6</v>
      </c>
      <c r="B675" s="15" t="s">
        <v>415</v>
      </c>
      <c r="C675" t="s">
        <v>399</v>
      </c>
      <c r="D675" t="s">
        <v>380</v>
      </c>
      <c r="E675" s="17" t="s">
        <v>369</v>
      </c>
      <c r="F675" s="17">
        <v>84250</v>
      </c>
      <c r="G675" s="17">
        <v>84264</v>
      </c>
      <c r="H675">
        <f t="shared" si="36"/>
        <v>-14</v>
      </c>
      <c r="I675">
        <v>41</v>
      </c>
      <c r="J675">
        <f t="shared" si="37"/>
        <v>6315</v>
      </c>
    </row>
    <row r="676" spans="1:10" x14ac:dyDescent="0.2">
      <c r="A676">
        <v>6</v>
      </c>
      <c r="B676" s="15" t="s">
        <v>415</v>
      </c>
      <c r="C676" t="s">
        <v>399</v>
      </c>
      <c r="D676" t="s">
        <v>380</v>
      </c>
      <c r="E676" s="17" t="s">
        <v>370</v>
      </c>
      <c r="F676" s="17">
        <v>90567</v>
      </c>
      <c r="G676" s="17">
        <v>90577</v>
      </c>
      <c r="H676">
        <f t="shared" si="36"/>
        <v>-10</v>
      </c>
      <c r="I676">
        <v>41</v>
      </c>
      <c r="J676">
        <f t="shared" si="37"/>
        <v>6317</v>
      </c>
    </row>
    <row r="677" spans="1:10" x14ac:dyDescent="0.2">
      <c r="A677">
        <v>6</v>
      </c>
      <c r="B677" s="15" t="s">
        <v>415</v>
      </c>
      <c r="C677" t="s">
        <v>399</v>
      </c>
      <c r="D677" t="s">
        <v>380</v>
      </c>
      <c r="E677" s="17" t="s">
        <v>371</v>
      </c>
      <c r="F677" s="17">
        <v>96969</v>
      </c>
      <c r="G677" s="17">
        <v>96979</v>
      </c>
      <c r="H677">
        <f t="shared" si="36"/>
        <v>-10</v>
      </c>
      <c r="I677">
        <v>41</v>
      </c>
      <c r="J677">
        <f t="shared" si="37"/>
        <v>6402</v>
      </c>
    </row>
    <row r="678" spans="1:10" x14ac:dyDescent="0.2">
      <c r="A678">
        <v>6</v>
      </c>
      <c r="B678" s="15" t="s">
        <v>415</v>
      </c>
      <c r="C678" t="s">
        <v>399</v>
      </c>
      <c r="D678" t="s">
        <v>380</v>
      </c>
      <c r="E678" s="17" t="s">
        <v>372</v>
      </c>
      <c r="F678" s="17">
        <v>103306</v>
      </c>
      <c r="G678" s="17">
        <v>103318</v>
      </c>
      <c r="H678">
        <f t="shared" si="36"/>
        <v>-12</v>
      </c>
      <c r="I678">
        <v>41</v>
      </c>
      <c r="J678">
        <f t="shared" si="37"/>
        <v>6337</v>
      </c>
    </row>
    <row r="679" spans="1:10" x14ac:dyDescent="0.2">
      <c r="A679">
        <v>6</v>
      </c>
      <c r="B679" s="15" t="s">
        <v>415</v>
      </c>
      <c r="C679" t="s">
        <v>399</v>
      </c>
      <c r="D679" t="s">
        <v>380</v>
      </c>
      <c r="E679" s="17" t="s">
        <v>373</v>
      </c>
      <c r="F679" s="17">
        <v>109635</v>
      </c>
      <c r="G679" s="17">
        <v>109646</v>
      </c>
      <c r="H679">
        <f t="shared" si="36"/>
        <v>-11</v>
      </c>
      <c r="I679">
        <v>41</v>
      </c>
      <c r="J679">
        <f t="shared" si="37"/>
        <v>6329</v>
      </c>
    </row>
    <row r="680" spans="1:10" x14ac:dyDescent="0.2">
      <c r="A680">
        <v>6</v>
      </c>
      <c r="B680" s="15" t="s">
        <v>415</v>
      </c>
      <c r="C680" t="s">
        <v>399</v>
      </c>
      <c r="D680" t="s">
        <v>380</v>
      </c>
      <c r="E680" s="17" t="s">
        <v>374</v>
      </c>
      <c r="F680" s="17">
        <v>116069</v>
      </c>
      <c r="G680" s="17">
        <v>116081</v>
      </c>
      <c r="H680">
        <f t="shared" si="36"/>
        <v>-12</v>
      </c>
      <c r="I680">
        <v>41</v>
      </c>
      <c r="J680">
        <f t="shared" si="37"/>
        <v>6434</v>
      </c>
    </row>
    <row r="681" spans="1:10" x14ac:dyDescent="0.2">
      <c r="A681">
        <v>6</v>
      </c>
      <c r="B681" s="15" t="s">
        <v>415</v>
      </c>
      <c r="C681" t="s">
        <v>399</v>
      </c>
      <c r="D681" t="s">
        <v>380</v>
      </c>
      <c r="E681" s="17" t="s">
        <v>375</v>
      </c>
      <c r="F681" s="17">
        <v>122447</v>
      </c>
      <c r="G681" s="17">
        <v>122459</v>
      </c>
      <c r="H681">
        <f t="shared" si="36"/>
        <v>-12</v>
      </c>
      <c r="I681">
        <v>41</v>
      </c>
      <c r="J681">
        <f t="shared" si="37"/>
        <v>6378</v>
      </c>
    </row>
    <row r="682" spans="1:10" x14ac:dyDescent="0.2">
      <c r="A682">
        <v>6</v>
      </c>
      <c r="B682" s="15" t="s">
        <v>415</v>
      </c>
      <c r="C682" t="s">
        <v>399</v>
      </c>
      <c r="D682" t="s">
        <v>380</v>
      </c>
      <c r="E682" s="17" t="s">
        <v>376</v>
      </c>
      <c r="F682" s="17">
        <v>128742</v>
      </c>
      <c r="G682" s="17">
        <v>128752</v>
      </c>
      <c r="H682">
        <f t="shared" si="36"/>
        <v>-10</v>
      </c>
      <c r="I682">
        <v>41</v>
      </c>
      <c r="J682">
        <f t="shared" si="37"/>
        <v>6295</v>
      </c>
    </row>
    <row r="683" spans="1:10" x14ac:dyDescent="0.2">
      <c r="A683">
        <v>6</v>
      </c>
      <c r="B683" s="15" t="s">
        <v>415</v>
      </c>
      <c r="C683" t="s">
        <v>399</v>
      </c>
      <c r="D683" t="s">
        <v>380</v>
      </c>
      <c r="E683" s="17" t="s">
        <v>377</v>
      </c>
      <c r="F683" s="17">
        <v>135004</v>
      </c>
      <c r="G683" s="17">
        <v>135015</v>
      </c>
      <c r="H683">
        <f t="shared" si="36"/>
        <v>-11</v>
      </c>
      <c r="I683">
        <v>41</v>
      </c>
      <c r="J683">
        <f t="shared" si="37"/>
        <v>6262</v>
      </c>
    </row>
    <row r="684" spans="1:10" x14ac:dyDescent="0.2">
      <c r="A684">
        <v>6</v>
      </c>
      <c r="B684" s="15" t="s">
        <v>415</v>
      </c>
      <c r="C684" t="s">
        <v>399</v>
      </c>
      <c r="D684" t="s">
        <v>380</v>
      </c>
      <c r="E684" s="17" t="s">
        <v>378</v>
      </c>
      <c r="F684" s="17">
        <v>141343</v>
      </c>
      <c r="G684" s="17">
        <v>141354</v>
      </c>
      <c r="H684">
        <f t="shared" si="36"/>
        <v>-11</v>
      </c>
      <c r="I684">
        <v>41</v>
      </c>
      <c r="J684">
        <f t="shared" si="37"/>
        <v>6339</v>
      </c>
    </row>
    <row r="685" spans="1:10" x14ac:dyDescent="0.2">
      <c r="A685">
        <v>6</v>
      </c>
      <c r="B685" s="15" t="s">
        <v>415</v>
      </c>
      <c r="C685" t="s">
        <v>399</v>
      </c>
      <c r="D685" t="s">
        <v>380</v>
      </c>
      <c r="E685" s="17" t="s">
        <v>384</v>
      </c>
      <c r="F685" s="17">
        <v>147581</v>
      </c>
      <c r="G685" s="17">
        <v>147590</v>
      </c>
      <c r="H685">
        <f t="shared" si="36"/>
        <v>-9</v>
      </c>
      <c r="I685">
        <v>41</v>
      </c>
      <c r="J685">
        <f t="shared" si="37"/>
        <v>6238</v>
      </c>
    </row>
    <row r="686" spans="1:10" x14ac:dyDescent="0.2">
      <c r="A686">
        <v>7</v>
      </c>
      <c r="B686" s="15" t="s">
        <v>419</v>
      </c>
      <c r="C686" t="s">
        <v>399</v>
      </c>
      <c r="D686" t="s">
        <v>401</v>
      </c>
      <c r="E686" s="17" t="s">
        <v>362</v>
      </c>
      <c r="H686">
        <f>F686-G686</f>
        <v>0</v>
      </c>
      <c r="I686">
        <v>101</v>
      </c>
    </row>
    <row r="687" spans="1:10" x14ac:dyDescent="0.2">
      <c r="A687">
        <v>7</v>
      </c>
      <c r="B687" s="15" t="s">
        <v>419</v>
      </c>
      <c r="C687" t="s">
        <v>399</v>
      </c>
      <c r="D687" t="s">
        <v>401</v>
      </c>
      <c r="E687" s="17" t="s">
        <v>363</v>
      </c>
      <c r="H687">
        <f>F687-G687</f>
        <v>0</v>
      </c>
      <c r="I687">
        <v>101</v>
      </c>
      <c r="J687">
        <f t="shared" ref="J687:J715" si="38">F687-F686</f>
        <v>0</v>
      </c>
    </row>
    <row r="688" spans="1:10" x14ac:dyDescent="0.2">
      <c r="A688">
        <v>7</v>
      </c>
      <c r="B688" s="15" t="s">
        <v>419</v>
      </c>
      <c r="C688" t="s">
        <v>399</v>
      </c>
      <c r="D688" t="s">
        <v>401</v>
      </c>
      <c r="E688" s="17" t="s">
        <v>364</v>
      </c>
      <c r="H688">
        <f>F688-G688</f>
        <v>0</v>
      </c>
      <c r="I688">
        <v>101</v>
      </c>
      <c r="J688">
        <f t="shared" si="38"/>
        <v>0</v>
      </c>
    </row>
    <row r="689" spans="1:10" x14ac:dyDescent="0.2">
      <c r="A689">
        <v>7</v>
      </c>
      <c r="B689" s="15" t="s">
        <v>419</v>
      </c>
      <c r="C689" t="s">
        <v>399</v>
      </c>
      <c r="D689" t="s">
        <v>401</v>
      </c>
      <c r="E689" s="17" t="s">
        <v>365</v>
      </c>
      <c r="H689">
        <f t="shared" ref="H689:H752" si="39">F689-G689</f>
        <v>0</v>
      </c>
      <c r="I689">
        <v>101</v>
      </c>
      <c r="J689">
        <f t="shared" si="38"/>
        <v>0</v>
      </c>
    </row>
    <row r="690" spans="1:10" x14ac:dyDescent="0.2">
      <c r="A690">
        <v>7</v>
      </c>
      <c r="B690" s="15" t="s">
        <v>419</v>
      </c>
      <c r="C690" t="s">
        <v>399</v>
      </c>
      <c r="D690" t="s">
        <v>401</v>
      </c>
      <c r="E690" s="17" t="s">
        <v>366</v>
      </c>
      <c r="H690">
        <f t="shared" si="39"/>
        <v>0</v>
      </c>
      <c r="I690">
        <v>101</v>
      </c>
      <c r="J690">
        <f t="shared" si="38"/>
        <v>0</v>
      </c>
    </row>
    <row r="691" spans="1:10" x14ac:dyDescent="0.2">
      <c r="A691">
        <v>7</v>
      </c>
      <c r="B691" s="15" t="s">
        <v>419</v>
      </c>
      <c r="C691" t="s">
        <v>399</v>
      </c>
      <c r="D691" t="s">
        <v>401</v>
      </c>
      <c r="E691" s="17" t="s">
        <v>367</v>
      </c>
      <c r="H691">
        <f t="shared" si="39"/>
        <v>0</v>
      </c>
      <c r="I691">
        <v>101</v>
      </c>
      <c r="J691">
        <f t="shared" si="38"/>
        <v>0</v>
      </c>
    </row>
    <row r="692" spans="1:10" x14ac:dyDescent="0.2">
      <c r="A692">
        <v>7</v>
      </c>
      <c r="B692" s="15" t="s">
        <v>419</v>
      </c>
      <c r="C692" t="s">
        <v>399</v>
      </c>
      <c r="D692" t="s">
        <v>401</v>
      </c>
      <c r="E692" s="17" t="s">
        <v>368</v>
      </c>
      <c r="H692">
        <f t="shared" si="39"/>
        <v>0</v>
      </c>
      <c r="I692">
        <v>101</v>
      </c>
      <c r="J692">
        <f t="shared" si="38"/>
        <v>0</v>
      </c>
    </row>
    <row r="693" spans="1:10" x14ac:dyDescent="0.2">
      <c r="A693">
        <v>7</v>
      </c>
      <c r="B693" s="15" t="s">
        <v>419</v>
      </c>
      <c r="C693" t="s">
        <v>399</v>
      </c>
      <c r="D693" t="s">
        <v>401</v>
      </c>
      <c r="E693" s="17" t="s">
        <v>369</v>
      </c>
      <c r="H693">
        <f t="shared" si="39"/>
        <v>0</v>
      </c>
      <c r="I693">
        <v>101</v>
      </c>
      <c r="J693">
        <f t="shared" si="38"/>
        <v>0</v>
      </c>
    </row>
    <row r="694" spans="1:10" x14ac:dyDescent="0.2">
      <c r="A694">
        <v>7</v>
      </c>
      <c r="B694" s="15" t="s">
        <v>419</v>
      </c>
      <c r="C694" t="s">
        <v>399</v>
      </c>
      <c r="D694" t="s">
        <v>401</v>
      </c>
      <c r="E694" s="17" t="s">
        <v>370</v>
      </c>
      <c r="H694">
        <f t="shared" si="39"/>
        <v>0</v>
      </c>
      <c r="I694">
        <v>101</v>
      </c>
      <c r="J694">
        <f t="shared" si="38"/>
        <v>0</v>
      </c>
    </row>
    <row r="695" spans="1:10" x14ac:dyDescent="0.2">
      <c r="A695">
        <v>7</v>
      </c>
      <c r="B695" s="15" t="s">
        <v>419</v>
      </c>
      <c r="C695" t="s">
        <v>399</v>
      </c>
      <c r="D695" t="s">
        <v>401</v>
      </c>
      <c r="E695" s="17" t="s">
        <v>371</v>
      </c>
      <c r="H695">
        <f t="shared" si="39"/>
        <v>0</v>
      </c>
      <c r="I695">
        <v>101</v>
      </c>
      <c r="J695">
        <f t="shared" si="38"/>
        <v>0</v>
      </c>
    </row>
    <row r="696" spans="1:10" x14ac:dyDescent="0.2">
      <c r="A696">
        <v>7</v>
      </c>
      <c r="B696" s="15" t="s">
        <v>419</v>
      </c>
      <c r="C696" t="s">
        <v>399</v>
      </c>
      <c r="D696" t="s">
        <v>401</v>
      </c>
      <c r="E696" s="17" t="s">
        <v>372</v>
      </c>
      <c r="H696">
        <f t="shared" si="39"/>
        <v>0</v>
      </c>
      <c r="I696">
        <v>101</v>
      </c>
      <c r="J696">
        <f t="shared" si="38"/>
        <v>0</v>
      </c>
    </row>
    <row r="697" spans="1:10" x14ac:dyDescent="0.2">
      <c r="A697">
        <v>7</v>
      </c>
      <c r="B697" s="15" t="s">
        <v>419</v>
      </c>
      <c r="C697" t="s">
        <v>399</v>
      </c>
      <c r="D697" t="s">
        <v>401</v>
      </c>
      <c r="E697" s="17" t="s">
        <v>373</v>
      </c>
      <c r="H697">
        <f t="shared" si="39"/>
        <v>0</v>
      </c>
      <c r="I697">
        <v>101</v>
      </c>
      <c r="J697">
        <f t="shared" si="38"/>
        <v>0</v>
      </c>
    </row>
    <row r="698" spans="1:10" x14ac:dyDescent="0.2">
      <c r="A698">
        <v>7</v>
      </c>
      <c r="B698" s="15" t="s">
        <v>419</v>
      </c>
      <c r="C698" t="s">
        <v>399</v>
      </c>
      <c r="D698" t="s">
        <v>401</v>
      </c>
      <c r="E698" s="17" t="s">
        <v>374</v>
      </c>
      <c r="H698">
        <f t="shared" si="39"/>
        <v>0</v>
      </c>
      <c r="I698">
        <v>101</v>
      </c>
      <c r="J698">
        <f t="shared" si="38"/>
        <v>0</v>
      </c>
    </row>
    <row r="699" spans="1:10" x14ac:dyDescent="0.2">
      <c r="A699">
        <v>7</v>
      </c>
      <c r="B699" s="15" t="s">
        <v>419</v>
      </c>
      <c r="C699" t="s">
        <v>399</v>
      </c>
      <c r="D699" t="s">
        <v>401</v>
      </c>
      <c r="E699" s="17" t="s">
        <v>375</v>
      </c>
      <c r="H699">
        <f t="shared" si="39"/>
        <v>0</v>
      </c>
      <c r="I699">
        <v>101</v>
      </c>
      <c r="J699">
        <f t="shared" si="38"/>
        <v>0</v>
      </c>
    </row>
    <row r="700" spans="1:10" x14ac:dyDescent="0.2">
      <c r="A700">
        <v>7</v>
      </c>
      <c r="B700" s="15" t="s">
        <v>419</v>
      </c>
      <c r="C700" t="s">
        <v>399</v>
      </c>
      <c r="D700" t="s">
        <v>401</v>
      </c>
      <c r="E700" s="17" t="s">
        <v>376</v>
      </c>
      <c r="H700">
        <f t="shared" si="39"/>
        <v>0</v>
      </c>
      <c r="I700">
        <v>101</v>
      </c>
      <c r="J700">
        <f t="shared" si="38"/>
        <v>0</v>
      </c>
    </row>
    <row r="701" spans="1:10" x14ac:dyDescent="0.2">
      <c r="A701">
        <v>7</v>
      </c>
      <c r="B701" s="15" t="s">
        <v>419</v>
      </c>
      <c r="C701" t="s">
        <v>399</v>
      </c>
      <c r="D701" t="s">
        <v>401</v>
      </c>
      <c r="E701" s="17" t="s">
        <v>377</v>
      </c>
      <c r="H701">
        <f t="shared" si="39"/>
        <v>0</v>
      </c>
      <c r="I701">
        <v>101</v>
      </c>
      <c r="J701">
        <f t="shared" si="38"/>
        <v>0</v>
      </c>
    </row>
    <row r="702" spans="1:10" x14ac:dyDescent="0.2">
      <c r="A702">
        <v>7</v>
      </c>
      <c r="B702" s="15" t="s">
        <v>419</v>
      </c>
      <c r="C702" t="s">
        <v>399</v>
      </c>
      <c r="D702" t="s">
        <v>401</v>
      </c>
      <c r="E702" s="17" t="s">
        <v>378</v>
      </c>
      <c r="H702">
        <f t="shared" si="39"/>
        <v>0</v>
      </c>
      <c r="I702">
        <v>101</v>
      </c>
      <c r="J702">
        <f t="shared" si="38"/>
        <v>0</v>
      </c>
    </row>
    <row r="703" spans="1:10" x14ac:dyDescent="0.2">
      <c r="A703">
        <v>7</v>
      </c>
      <c r="B703" s="15" t="s">
        <v>419</v>
      </c>
      <c r="C703" t="s">
        <v>399</v>
      </c>
      <c r="D703" t="s">
        <v>401</v>
      </c>
      <c r="E703" s="17" t="s">
        <v>384</v>
      </c>
      <c r="H703">
        <f t="shared" si="39"/>
        <v>0</v>
      </c>
      <c r="I703">
        <v>101</v>
      </c>
      <c r="J703">
        <f t="shared" si="38"/>
        <v>0</v>
      </c>
    </row>
    <row r="704" spans="1:10" x14ac:dyDescent="0.2">
      <c r="A704">
        <v>7</v>
      </c>
      <c r="B704" s="15" t="s">
        <v>419</v>
      </c>
      <c r="C704" t="s">
        <v>399</v>
      </c>
      <c r="D704" t="s">
        <v>401</v>
      </c>
      <c r="E704" s="17" t="s">
        <v>385</v>
      </c>
      <c r="H704">
        <f t="shared" si="39"/>
        <v>0</v>
      </c>
      <c r="I704">
        <v>101</v>
      </c>
      <c r="J704">
        <f t="shared" si="38"/>
        <v>0</v>
      </c>
    </row>
    <row r="705" spans="1:10" x14ac:dyDescent="0.2">
      <c r="A705">
        <v>7</v>
      </c>
      <c r="B705" s="15" t="s">
        <v>419</v>
      </c>
      <c r="C705" t="s">
        <v>399</v>
      </c>
      <c r="D705" t="s">
        <v>401</v>
      </c>
      <c r="E705" s="17" t="s">
        <v>386</v>
      </c>
      <c r="H705">
        <f t="shared" si="39"/>
        <v>0</v>
      </c>
      <c r="I705">
        <v>101</v>
      </c>
      <c r="J705">
        <f t="shared" si="38"/>
        <v>0</v>
      </c>
    </row>
    <row r="706" spans="1:10" x14ac:dyDescent="0.2">
      <c r="A706">
        <v>7</v>
      </c>
      <c r="B706" s="15" t="s">
        <v>419</v>
      </c>
      <c r="C706" t="s">
        <v>399</v>
      </c>
      <c r="D706" t="s">
        <v>401</v>
      </c>
      <c r="E706" s="17" t="s">
        <v>387</v>
      </c>
      <c r="H706">
        <f t="shared" si="39"/>
        <v>0</v>
      </c>
      <c r="I706">
        <v>101</v>
      </c>
      <c r="J706">
        <f t="shared" si="38"/>
        <v>0</v>
      </c>
    </row>
    <row r="707" spans="1:10" x14ac:dyDescent="0.2">
      <c r="A707">
        <v>7</v>
      </c>
      <c r="B707" s="15" t="s">
        <v>419</v>
      </c>
      <c r="C707" t="s">
        <v>399</v>
      </c>
      <c r="D707" t="s">
        <v>401</v>
      </c>
      <c r="E707" s="17" t="s">
        <v>388</v>
      </c>
      <c r="H707">
        <f t="shared" si="39"/>
        <v>0</v>
      </c>
      <c r="I707">
        <v>101</v>
      </c>
      <c r="J707">
        <f t="shared" si="38"/>
        <v>0</v>
      </c>
    </row>
    <row r="708" spans="1:10" x14ac:dyDescent="0.2">
      <c r="A708">
        <v>7</v>
      </c>
      <c r="B708" s="15" t="s">
        <v>419</v>
      </c>
      <c r="C708" t="s">
        <v>399</v>
      </c>
      <c r="D708" t="s">
        <v>401</v>
      </c>
      <c r="E708" s="17" t="s">
        <v>389</v>
      </c>
      <c r="H708">
        <f t="shared" si="39"/>
        <v>0</v>
      </c>
      <c r="I708">
        <v>101</v>
      </c>
      <c r="J708">
        <f t="shared" si="38"/>
        <v>0</v>
      </c>
    </row>
    <row r="709" spans="1:10" x14ac:dyDescent="0.2">
      <c r="A709">
        <v>7</v>
      </c>
      <c r="B709" s="15" t="s">
        <v>419</v>
      </c>
      <c r="C709" t="s">
        <v>399</v>
      </c>
      <c r="D709" t="s">
        <v>401</v>
      </c>
      <c r="E709" s="17" t="s">
        <v>390</v>
      </c>
      <c r="H709">
        <f t="shared" si="39"/>
        <v>0</v>
      </c>
      <c r="I709">
        <v>101</v>
      </c>
      <c r="J709">
        <f t="shared" si="38"/>
        <v>0</v>
      </c>
    </row>
    <row r="710" spans="1:10" x14ac:dyDescent="0.2">
      <c r="A710">
        <v>7</v>
      </c>
      <c r="B710" s="15" t="s">
        <v>419</v>
      </c>
      <c r="C710" t="s">
        <v>399</v>
      </c>
      <c r="D710" t="s">
        <v>401</v>
      </c>
      <c r="E710" s="17" t="s">
        <v>391</v>
      </c>
      <c r="H710">
        <f t="shared" si="39"/>
        <v>0</v>
      </c>
      <c r="I710">
        <v>101</v>
      </c>
      <c r="J710">
        <f t="shared" si="38"/>
        <v>0</v>
      </c>
    </row>
    <row r="711" spans="1:10" x14ac:dyDescent="0.2">
      <c r="A711">
        <v>7</v>
      </c>
      <c r="B711" s="15" t="s">
        <v>419</v>
      </c>
      <c r="C711" t="s">
        <v>399</v>
      </c>
      <c r="D711" t="s">
        <v>401</v>
      </c>
      <c r="E711" s="17" t="s">
        <v>392</v>
      </c>
      <c r="H711">
        <f t="shared" si="39"/>
        <v>0</v>
      </c>
      <c r="I711">
        <v>101</v>
      </c>
      <c r="J711">
        <f t="shared" si="38"/>
        <v>0</v>
      </c>
    </row>
    <row r="712" spans="1:10" x14ac:dyDescent="0.2">
      <c r="A712">
        <v>7</v>
      </c>
      <c r="B712" s="15" t="s">
        <v>419</v>
      </c>
      <c r="C712" t="s">
        <v>399</v>
      </c>
      <c r="D712" t="s">
        <v>401</v>
      </c>
      <c r="E712" s="17" t="s">
        <v>393</v>
      </c>
      <c r="H712">
        <f t="shared" si="39"/>
        <v>0</v>
      </c>
      <c r="I712">
        <v>101</v>
      </c>
      <c r="J712">
        <f t="shared" si="38"/>
        <v>0</v>
      </c>
    </row>
    <row r="713" spans="1:10" x14ac:dyDescent="0.2">
      <c r="A713">
        <v>7</v>
      </c>
      <c r="B713" s="15" t="s">
        <v>419</v>
      </c>
      <c r="C713" t="s">
        <v>399</v>
      </c>
      <c r="D713" t="s">
        <v>401</v>
      </c>
      <c r="E713" s="17" t="s">
        <v>394</v>
      </c>
      <c r="H713">
        <f t="shared" si="39"/>
        <v>0</v>
      </c>
      <c r="I713">
        <v>101</v>
      </c>
      <c r="J713">
        <f t="shared" si="38"/>
        <v>0</v>
      </c>
    </row>
    <row r="714" spans="1:10" x14ac:dyDescent="0.2">
      <c r="A714">
        <v>7</v>
      </c>
      <c r="B714" s="15" t="s">
        <v>419</v>
      </c>
      <c r="C714" t="s">
        <v>399</v>
      </c>
      <c r="D714" t="s">
        <v>401</v>
      </c>
      <c r="E714" s="17" t="s">
        <v>395</v>
      </c>
      <c r="H714">
        <f t="shared" si="39"/>
        <v>0</v>
      </c>
      <c r="I714">
        <v>101</v>
      </c>
      <c r="J714">
        <f t="shared" si="38"/>
        <v>0</v>
      </c>
    </row>
    <row r="715" spans="1:10" x14ac:dyDescent="0.2">
      <c r="A715">
        <v>7</v>
      </c>
      <c r="B715" s="15" t="s">
        <v>419</v>
      </c>
      <c r="C715" t="s">
        <v>399</v>
      </c>
      <c r="D715" t="s">
        <v>401</v>
      </c>
      <c r="E715" s="17" t="s">
        <v>396</v>
      </c>
      <c r="H715">
        <f t="shared" si="39"/>
        <v>0</v>
      </c>
      <c r="I715">
        <v>101</v>
      </c>
      <c r="J715">
        <f t="shared" si="38"/>
        <v>0</v>
      </c>
    </row>
    <row r="716" spans="1:10" x14ac:dyDescent="0.2">
      <c r="A716">
        <v>7</v>
      </c>
      <c r="B716" s="15" t="s">
        <v>419</v>
      </c>
      <c r="C716" t="s">
        <v>399</v>
      </c>
      <c r="D716" t="s">
        <v>380</v>
      </c>
      <c r="E716" s="17" t="s">
        <v>362</v>
      </c>
      <c r="H716">
        <f t="shared" si="39"/>
        <v>0</v>
      </c>
      <c r="I716">
        <v>101</v>
      </c>
    </row>
    <row r="717" spans="1:10" x14ac:dyDescent="0.2">
      <c r="A717">
        <v>7</v>
      </c>
      <c r="B717" s="15" t="s">
        <v>419</v>
      </c>
      <c r="C717" t="s">
        <v>399</v>
      </c>
      <c r="D717" t="s">
        <v>380</v>
      </c>
      <c r="E717" s="17" t="s">
        <v>363</v>
      </c>
      <c r="H717">
        <f t="shared" si="39"/>
        <v>0</v>
      </c>
      <c r="I717">
        <v>101</v>
      </c>
      <c r="J717">
        <f t="shared" ref="J717:J745" si="40">F717-F716</f>
        <v>0</v>
      </c>
    </row>
    <row r="718" spans="1:10" x14ac:dyDescent="0.2">
      <c r="A718">
        <v>7</v>
      </c>
      <c r="B718" s="15" t="s">
        <v>419</v>
      </c>
      <c r="C718" t="s">
        <v>399</v>
      </c>
      <c r="D718" t="s">
        <v>380</v>
      </c>
      <c r="E718" s="17" t="s">
        <v>364</v>
      </c>
      <c r="H718">
        <f t="shared" si="39"/>
        <v>0</v>
      </c>
      <c r="I718">
        <v>101</v>
      </c>
      <c r="J718">
        <f t="shared" si="40"/>
        <v>0</v>
      </c>
    </row>
    <row r="719" spans="1:10" x14ac:dyDescent="0.2">
      <c r="A719">
        <v>7</v>
      </c>
      <c r="B719" s="15" t="s">
        <v>419</v>
      </c>
      <c r="C719" t="s">
        <v>399</v>
      </c>
      <c r="D719" t="s">
        <v>380</v>
      </c>
      <c r="E719" s="17" t="s">
        <v>365</v>
      </c>
      <c r="H719">
        <f t="shared" si="39"/>
        <v>0</v>
      </c>
      <c r="I719">
        <v>101</v>
      </c>
      <c r="J719">
        <f t="shared" si="40"/>
        <v>0</v>
      </c>
    </row>
    <row r="720" spans="1:10" x14ac:dyDescent="0.2">
      <c r="A720">
        <v>7</v>
      </c>
      <c r="B720" s="15" t="s">
        <v>419</v>
      </c>
      <c r="C720" t="s">
        <v>399</v>
      </c>
      <c r="D720" t="s">
        <v>380</v>
      </c>
      <c r="E720" s="17" t="s">
        <v>366</v>
      </c>
      <c r="H720">
        <f t="shared" si="39"/>
        <v>0</v>
      </c>
      <c r="I720">
        <v>101</v>
      </c>
      <c r="J720">
        <f t="shared" si="40"/>
        <v>0</v>
      </c>
    </row>
    <row r="721" spans="1:10" x14ac:dyDescent="0.2">
      <c r="A721">
        <v>7</v>
      </c>
      <c r="B721" s="15" t="s">
        <v>419</v>
      </c>
      <c r="C721" t="s">
        <v>399</v>
      </c>
      <c r="D721" t="s">
        <v>380</v>
      </c>
      <c r="E721" s="17" t="s">
        <v>367</v>
      </c>
      <c r="H721">
        <f t="shared" si="39"/>
        <v>0</v>
      </c>
      <c r="I721">
        <v>101</v>
      </c>
      <c r="J721">
        <f t="shared" si="40"/>
        <v>0</v>
      </c>
    </row>
    <row r="722" spans="1:10" x14ac:dyDescent="0.2">
      <c r="A722">
        <v>7</v>
      </c>
      <c r="B722" s="15" t="s">
        <v>419</v>
      </c>
      <c r="C722" t="s">
        <v>399</v>
      </c>
      <c r="D722" t="s">
        <v>380</v>
      </c>
      <c r="E722" s="17" t="s">
        <v>368</v>
      </c>
      <c r="H722">
        <f t="shared" si="39"/>
        <v>0</v>
      </c>
      <c r="I722">
        <v>101</v>
      </c>
      <c r="J722">
        <f t="shared" si="40"/>
        <v>0</v>
      </c>
    </row>
    <row r="723" spans="1:10" x14ac:dyDescent="0.2">
      <c r="A723">
        <v>7</v>
      </c>
      <c r="B723" s="15" t="s">
        <v>419</v>
      </c>
      <c r="C723" t="s">
        <v>399</v>
      </c>
      <c r="D723" t="s">
        <v>380</v>
      </c>
      <c r="E723" s="17" t="s">
        <v>369</v>
      </c>
      <c r="H723">
        <f t="shared" si="39"/>
        <v>0</v>
      </c>
      <c r="I723">
        <v>101</v>
      </c>
      <c r="J723">
        <f t="shared" si="40"/>
        <v>0</v>
      </c>
    </row>
    <row r="724" spans="1:10" x14ac:dyDescent="0.2">
      <c r="A724">
        <v>7</v>
      </c>
      <c r="B724" s="15" t="s">
        <v>419</v>
      </c>
      <c r="C724" t="s">
        <v>399</v>
      </c>
      <c r="D724" t="s">
        <v>380</v>
      </c>
      <c r="E724" s="17" t="s">
        <v>370</v>
      </c>
      <c r="H724">
        <f t="shared" si="39"/>
        <v>0</v>
      </c>
      <c r="I724">
        <v>101</v>
      </c>
      <c r="J724">
        <f t="shared" si="40"/>
        <v>0</v>
      </c>
    </row>
    <row r="725" spans="1:10" x14ac:dyDescent="0.2">
      <c r="A725">
        <v>7</v>
      </c>
      <c r="B725" s="15" t="s">
        <v>419</v>
      </c>
      <c r="C725" t="s">
        <v>399</v>
      </c>
      <c r="D725" t="s">
        <v>380</v>
      </c>
      <c r="E725" s="17" t="s">
        <v>371</v>
      </c>
      <c r="H725">
        <f t="shared" si="39"/>
        <v>0</v>
      </c>
      <c r="I725">
        <v>101</v>
      </c>
      <c r="J725">
        <f t="shared" si="40"/>
        <v>0</v>
      </c>
    </row>
    <row r="726" spans="1:10" x14ac:dyDescent="0.2">
      <c r="A726">
        <v>7</v>
      </c>
      <c r="B726" s="15" t="s">
        <v>419</v>
      </c>
      <c r="C726" t="s">
        <v>399</v>
      </c>
      <c r="D726" t="s">
        <v>380</v>
      </c>
      <c r="E726" s="17" t="s">
        <v>372</v>
      </c>
      <c r="H726">
        <f t="shared" si="39"/>
        <v>0</v>
      </c>
      <c r="I726">
        <v>101</v>
      </c>
      <c r="J726">
        <f t="shared" si="40"/>
        <v>0</v>
      </c>
    </row>
    <row r="727" spans="1:10" x14ac:dyDescent="0.2">
      <c r="A727">
        <v>7</v>
      </c>
      <c r="B727" s="15" t="s">
        <v>419</v>
      </c>
      <c r="C727" t="s">
        <v>399</v>
      </c>
      <c r="D727" t="s">
        <v>380</v>
      </c>
      <c r="E727" s="17" t="s">
        <v>373</v>
      </c>
      <c r="H727">
        <f t="shared" si="39"/>
        <v>0</v>
      </c>
      <c r="I727">
        <v>101</v>
      </c>
      <c r="J727">
        <f t="shared" si="40"/>
        <v>0</v>
      </c>
    </row>
    <row r="728" spans="1:10" x14ac:dyDescent="0.2">
      <c r="A728">
        <v>7</v>
      </c>
      <c r="B728" s="15" t="s">
        <v>419</v>
      </c>
      <c r="C728" t="s">
        <v>399</v>
      </c>
      <c r="D728" t="s">
        <v>380</v>
      </c>
      <c r="E728" s="17" t="s">
        <v>374</v>
      </c>
      <c r="H728">
        <f t="shared" si="39"/>
        <v>0</v>
      </c>
      <c r="I728">
        <v>101</v>
      </c>
      <c r="J728">
        <f t="shared" si="40"/>
        <v>0</v>
      </c>
    </row>
    <row r="729" spans="1:10" x14ac:dyDescent="0.2">
      <c r="A729">
        <v>7</v>
      </c>
      <c r="B729" s="15" t="s">
        <v>419</v>
      </c>
      <c r="C729" t="s">
        <v>399</v>
      </c>
      <c r="D729" t="s">
        <v>380</v>
      </c>
      <c r="E729" s="17" t="s">
        <v>375</v>
      </c>
      <c r="H729">
        <f t="shared" si="39"/>
        <v>0</v>
      </c>
      <c r="I729">
        <v>101</v>
      </c>
      <c r="J729">
        <f t="shared" si="40"/>
        <v>0</v>
      </c>
    </row>
    <row r="730" spans="1:10" x14ac:dyDescent="0.2">
      <c r="A730">
        <v>7</v>
      </c>
      <c r="B730" s="15" t="s">
        <v>419</v>
      </c>
      <c r="C730" t="s">
        <v>399</v>
      </c>
      <c r="D730" t="s">
        <v>380</v>
      </c>
      <c r="E730" s="17" t="s">
        <v>376</v>
      </c>
      <c r="H730">
        <f t="shared" si="39"/>
        <v>0</v>
      </c>
      <c r="I730">
        <v>101</v>
      </c>
      <c r="J730">
        <f t="shared" si="40"/>
        <v>0</v>
      </c>
    </row>
    <row r="731" spans="1:10" x14ac:dyDescent="0.2">
      <c r="A731">
        <v>7</v>
      </c>
      <c r="B731" s="15" t="s">
        <v>419</v>
      </c>
      <c r="C731" t="s">
        <v>399</v>
      </c>
      <c r="D731" t="s">
        <v>380</v>
      </c>
      <c r="E731" s="17" t="s">
        <v>377</v>
      </c>
      <c r="H731">
        <f t="shared" si="39"/>
        <v>0</v>
      </c>
      <c r="I731">
        <v>101</v>
      </c>
      <c r="J731">
        <f t="shared" si="40"/>
        <v>0</v>
      </c>
    </row>
    <row r="732" spans="1:10" x14ac:dyDescent="0.2">
      <c r="A732">
        <v>7</v>
      </c>
      <c r="B732" s="15" t="s">
        <v>419</v>
      </c>
      <c r="C732" t="s">
        <v>399</v>
      </c>
      <c r="D732" t="s">
        <v>380</v>
      </c>
      <c r="E732" s="17" t="s">
        <v>378</v>
      </c>
      <c r="H732">
        <f t="shared" si="39"/>
        <v>0</v>
      </c>
      <c r="I732">
        <v>101</v>
      </c>
      <c r="J732">
        <f t="shared" si="40"/>
        <v>0</v>
      </c>
    </row>
    <row r="733" spans="1:10" x14ac:dyDescent="0.2">
      <c r="A733">
        <v>7</v>
      </c>
      <c r="B733" s="15" t="s">
        <v>419</v>
      </c>
      <c r="C733" t="s">
        <v>399</v>
      </c>
      <c r="D733" t="s">
        <v>380</v>
      </c>
      <c r="E733" s="17" t="s">
        <v>384</v>
      </c>
      <c r="H733">
        <f t="shared" si="39"/>
        <v>0</v>
      </c>
      <c r="I733">
        <v>101</v>
      </c>
      <c r="J733">
        <f t="shared" si="40"/>
        <v>0</v>
      </c>
    </row>
    <row r="734" spans="1:10" x14ac:dyDescent="0.2">
      <c r="A734">
        <v>7</v>
      </c>
      <c r="B734" s="15" t="s">
        <v>419</v>
      </c>
      <c r="C734" t="s">
        <v>399</v>
      </c>
      <c r="D734" t="s">
        <v>380</v>
      </c>
      <c r="E734" s="17" t="s">
        <v>385</v>
      </c>
      <c r="H734">
        <f t="shared" si="39"/>
        <v>0</v>
      </c>
      <c r="I734">
        <v>101</v>
      </c>
      <c r="J734">
        <f t="shared" si="40"/>
        <v>0</v>
      </c>
    </row>
    <row r="735" spans="1:10" x14ac:dyDescent="0.2">
      <c r="A735">
        <v>7</v>
      </c>
      <c r="B735" s="15" t="s">
        <v>419</v>
      </c>
      <c r="C735" t="s">
        <v>399</v>
      </c>
      <c r="D735" t="s">
        <v>380</v>
      </c>
      <c r="E735" s="17" t="s">
        <v>386</v>
      </c>
      <c r="H735">
        <f t="shared" si="39"/>
        <v>0</v>
      </c>
      <c r="I735">
        <v>101</v>
      </c>
      <c r="J735">
        <f t="shared" si="40"/>
        <v>0</v>
      </c>
    </row>
    <row r="736" spans="1:10" x14ac:dyDescent="0.2">
      <c r="A736">
        <v>7</v>
      </c>
      <c r="B736" s="15" t="s">
        <v>419</v>
      </c>
      <c r="C736" t="s">
        <v>399</v>
      </c>
      <c r="D736" t="s">
        <v>380</v>
      </c>
      <c r="E736" s="17" t="s">
        <v>387</v>
      </c>
      <c r="H736">
        <f t="shared" si="39"/>
        <v>0</v>
      </c>
      <c r="I736">
        <v>101</v>
      </c>
      <c r="J736">
        <f t="shared" si="40"/>
        <v>0</v>
      </c>
    </row>
    <row r="737" spans="1:10" x14ac:dyDescent="0.2">
      <c r="A737">
        <v>7</v>
      </c>
      <c r="B737" s="15" t="s">
        <v>419</v>
      </c>
      <c r="C737" t="s">
        <v>399</v>
      </c>
      <c r="D737" t="s">
        <v>380</v>
      </c>
      <c r="E737" s="17" t="s">
        <v>388</v>
      </c>
      <c r="H737">
        <f t="shared" si="39"/>
        <v>0</v>
      </c>
      <c r="I737">
        <v>101</v>
      </c>
      <c r="J737">
        <f t="shared" si="40"/>
        <v>0</v>
      </c>
    </row>
    <row r="738" spans="1:10" x14ac:dyDescent="0.2">
      <c r="A738">
        <v>7</v>
      </c>
      <c r="B738" s="15" t="s">
        <v>419</v>
      </c>
      <c r="C738" t="s">
        <v>399</v>
      </c>
      <c r="D738" t="s">
        <v>380</v>
      </c>
      <c r="E738" s="17" t="s">
        <v>389</v>
      </c>
      <c r="H738">
        <f t="shared" si="39"/>
        <v>0</v>
      </c>
      <c r="I738">
        <v>101</v>
      </c>
      <c r="J738">
        <f t="shared" si="40"/>
        <v>0</v>
      </c>
    </row>
    <row r="739" spans="1:10" x14ac:dyDescent="0.2">
      <c r="A739">
        <v>7</v>
      </c>
      <c r="B739" s="15" t="s">
        <v>419</v>
      </c>
      <c r="C739" t="s">
        <v>399</v>
      </c>
      <c r="D739" t="s">
        <v>380</v>
      </c>
      <c r="E739" s="17" t="s">
        <v>390</v>
      </c>
      <c r="H739">
        <f t="shared" si="39"/>
        <v>0</v>
      </c>
      <c r="I739">
        <v>101</v>
      </c>
      <c r="J739">
        <f t="shared" si="40"/>
        <v>0</v>
      </c>
    </row>
    <row r="740" spans="1:10" x14ac:dyDescent="0.2">
      <c r="A740">
        <v>7</v>
      </c>
      <c r="B740" s="15" t="s">
        <v>419</v>
      </c>
      <c r="C740" t="s">
        <v>399</v>
      </c>
      <c r="D740" t="s">
        <v>380</v>
      </c>
      <c r="E740" s="17" t="s">
        <v>391</v>
      </c>
      <c r="H740">
        <f t="shared" si="39"/>
        <v>0</v>
      </c>
      <c r="I740">
        <v>101</v>
      </c>
      <c r="J740">
        <f t="shared" si="40"/>
        <v>0</v>
      </c>
    </row>
    <row r="741" spans="1:10" x14ac:dyDescent="0.2">
      <c r="A741">
        <v>7</v>
      </c>
      <c r="B741" s="15" t="s">
        <v>419</v>
      </c>
      <c r="C741" t="s">
        <v>399</v>
      </c>
      <c r="D741" t="s">
        <v>380</v>
      </c>
      <c r="E741" s="17" t="s">
        <v>392</v>
      </c>
      <c r="H741">
        <f t="shared" si="39"/>
        <v>0</v>
      </c>
      <c r="I741">
        <v>101</v>
      </c>
      <c r="J741">
        <f t="shared" si="40"/>
        <v>0</v>
      </c>
    </row>
    <row r="742" spans="1:10" x14ac:dyDescent="0.2">
      <c r="A742">
        <v>7</v>
      </c>
      <c r="B742" s="15" t="s">
        <v>419</v>
      </c>
      <c r="C742" t="s">
        <v>399</v>
      </c>
      <c r="D742" t="s">
        <v>380</v>
      </c>
      <c r="E742" s="17" t="s">
        <v>393</v>
      </c>
      <c r="H742">
        <f t="shared" si="39"/>
        <v>0</v>
      </c>
      <c r="I742">
        <v>101</v>
      </c>
      <c r="J742">
        <f t="shared" si="40"/>
        <v>0</v>
      </c>
    </row>
    <row r="743" spans="1:10" x14ac:dyDescent="0.2">
      <c r="A743">
        <v>7</v>
      </c>
      <c r="B743" s="15" t="s">
        <v>419</v>
      </c>
      <c r="C743" t="s">
        <v>399</v>
      </c>
      <c r="D743" t="s">
        <v>380</v>
      </c>
      <c r="E743" s="17" t="s">
        <v>394</v>
      </c>
      <c r="H743">
        <f t="shared" si="39"/>
        <v>0</v>
      </c>
      <c r="I743">
        <v>101</v>
      </c>
      <c r="J743">
        <f t="shared" si="40"/>
        <v>0</v>
      </c>
    </row>
    <row r="744" spans="1:10" x14ac:dyDescent="0.2">
      <c r="A744">
        <v>7</v>
      </c>
      <c r="B744" s="15" t="s">
        <v>419</v>
      </c>
      <c r="C744" t="s">
        <v>399</v>
      </c>
      <c r="D744" t="s">
        <v>380</v>
      </c>
      <c r="E744" s="17" t="s">
        <v>395</v>
      </c>
      <c r="H744">
        <f t="shared" si="39"/>
        <v>0</v>
      </c>
      <c r="I744">
        <v>101</v>
      </c>
      <c r="J744">
        <f t="shared" si="40"/>
        <v>0</v>
      </c>
    </row>
    <row r="745" spans="1:10" x14ac:dyDescent="0.2">
      <c r="A745">
        <v>7</v>
      </c>
      <c r="B745" s="15" t="s">
        <v>419</v>
      </c>
      <c r="C745" t="s">
        <v>399</v>
      </c>
      <c r="D745" t="s">
        <v>380</v>
      </c>
      <c r="E745" s="17" t="s">
        <v>396</v>
      </c>
      <c r="H745">
        <f t="shared" si="39"/>
        <v>0</v>
      </c>
      <c r="I745">
        <v>101</v>
      </c>
      <c r="J745">
        <f t="shared" si="40"/>
        <v>0</v>
      </c>
    </row>
    <row r="746" spans="1:10" x14ac:dyDescent="0.2">
      <c r="A746">
        <v>7</v>
      </c>
      <c r="B746" s="15" t="s">
        <v>419</v>
      </c>
      <c r="C746" t="s">
        <v>399</v>
      </c>
      <c r="D746" t="s">
        <v>401</v>
      </c>
      <c r="E746" s="17" t="s">
        <v>362</v>
      </c>
      <c r="H746">
        <f t="shared" si="39"/>
        <v>0</v>
      </c>
      <c r="I746">
        <v>41</v>
      </c>
    </row>
    <row r="747" spans="1:10" x14ac:dyDescent="0.2">
      <c r="A747">
        <v>7</v>
      </c>
      <c r="B747" s="15" t="s">
        <v>419</v>
      </c>
      <c r="C747" t="s">
        <v>399</v>
      </c>
      <c r="D747" t="s">
        <v>401</v>
      </c>
      <c r="E747" s="17" t="s">
        <v>363</v>
      </c>
      <c r="H747">
        <f t="shared" si="39"/>
        <v>0</v>
      </c>
      <c r="I747">
        <v>41</v>
      </c>
      <c r="J747">
        <f t="shared" ref="J747:J775" si="41">F747-F746</f>
        <v>0</v>
      </c>
    </row>
    <row r="748" spans="1:10" x14ac:dyDescent="0.2">
      <c r="A748">
        <v>7</v>
      </c>
      <c r="B748" s="15" t="s">
        <v>419</v>
      </c>
      <c r="C748" t="s">
        <v>399</v>
      </c>
      <c r="D748" t="s">
        <v>401</v>
      </c>
      <c r="E748" s="17" t="s">
        <v>364</v>
      </c>
      <c r="H748">
        <f t="shared" si="39"/>
        <v>0</v>
      </c>
      <c r="I748">
        <v>41</v>
      </c>
      <c r="J748">
        <f t="shared" si="41"/>
        <v>0</v>
      </c>
    </row>
    <row r="749" spans="1:10" x14ac:dyDescent="0.2">
      <c r="A749">
        <v>7</v>
      </c>
      <c r="B749" s="15" t="s">
        <v>419</v>
      </c>
      <c r="C749" t="s">
        <v>399</v>
      </c>
      <c r="D749" t="s">
        <v>401</v>
      </c>
      <c r="E749" s="17" t="s">
        <v>365</v>
      </c>
      <c r="H749">
        <f t="shared" si="39"/>
        <v>0</v>
      </c>
      <c r="I749">
        <v>41</v>
      </c>
      <c r="J749">
        <f t="shared" si="41"/>
        <v>0</v>
      </c>
    </row>
    <row r="750" spans="1:10" x14ac:dyDescent="0.2">
      <c r="A750">
        <v>7</v>
      </c>
      <c r="B750" s="15" t="s">
        <v>419</v>
      </c>
      <c r="C750" t="s">
        <v>399</v>
      </c>
      <c r="D750" t="s">
        <v>401</v>
      </c>
      <c r="E750" s="17" t="s">
        <v>366</v>
      </c>
      <c r="H750">
        <f t="shared" si="39"/>
        <v>0</v>
      </c>
      <c r="I750">
        <v>41</v>
      </c>
      <c r="J750">
        <f t="shared" si="41"/>
        <v>0</v>
      </c>
    </row>
    <row r="751" spans="1:10" x14ac:dyDescent="0.2">
      <c r="A751">
        <v>7</v>
      </c>
      <c r="B751" s="15" t="s">
        <v>419</v>
      </c>
      <c r="C751" t="s">
        <v>399</v>
      </c>
      <c r="D751" t="s">
        <v>401</v>
      </c>
      <c r="E751" s="17" t="s">
        <v>367</v>
      </c>
      <c r="H751">
        <f t="shared" si="39"/>
        <v>0</v>
      </c>
      <c r="I751">
        <v>41</v>
      </c>
      <c r="J751">
        <f t="shared" si="41"/>
        <v>0</v>
      </c>
    </row>
    <row r="752" spans="1:10" x14ac:dyDescent="0.2">
      <c r="A752">
        <v>7</v>
      </c>
      <c r="B752" s="15" t="s">
        <v>419</v>
      </c>
      <c r="C752" t="s">
        <v>399</v>
      </c>
      <c r="D752" t="s">
        <v>401</v>
      </c>
      <c r="E752" s="17" t="s">
        <v>368</v>
      </c>
      <c r="H752">
        <f t="shared" si="39"/>
        <v>0</v>
      </c>
      <c r="I752">
        <v>41</v>
      </c>
      <c r="J752">
        <f t="shared" si="41"/>
        <v>0</v>
      </c>
    </row>
    <row r="753" spans="1:10" x14ac:dyDescent="0.2">
      <c r="A753">
        <v>7</v>
      </c>
      <c r="B753" s="15" t="s">
        <v>419</v>
      </c>
      <c r="C753" t="s">
        <v>399</v>
      </c>
      <c r="D753" t="s">
        <v>401</v>
      </c>
      <c r="E753" s="17" t="s">
        <v>369</v>
      </c>
      <c r="H753">
        <f t="shared" ref="H753:H805" si="42">F753-G753</f>
        <v>0</v>
      </c>
      <c r="I753">
        <v>41</v>
      </c>
      <c r="J753">
        <f t="shared" si="41"/>
        <v>0</v>
      </c>
    </row>
    <row r="754" spans="1:10" x14ac:dyDescent="0.2">
      <c r="A754">
        <v>7</v>
      </c>
      <c r="B754" s="15" t="s">
        <v>419</v>
      </c>
      <c r="C754" t="s">
        <v>399</v>
      </c>
      <c r="D754" t="s">
        <v>401</v>
      </c>
      <c r="E754" s="17" t="s">
        <v>370</v>
      </c>
      <c r="H754">
        <f t="shared" si="42"/>
        <v>0</v>
      </c>
      <c r="I754">
        <v>41</v>
      </c>
      <c r="J754">
        <f t="shared" si="41"/>
        <v>0</v>
      </c>
    </row>
    <row r="755" spans="1:10" x14ac:dyDescent="0.2">
      <c r="A755">
        <v>7</v>
      </c>
      <c r="B755" s="15" t="s">
        <v>419</v>
      </c>
      <c r="C755" t="s">
        <v>399</v>
      </c>
      <c r="D755" t="s">
        <v>401</v>
      </c>
      <c r="E755" s="17" t="s">
        <v>371</v>
      </c>
      <c r="H755">
        <f t="shared" si="42"/>
        <v>0</v>
      </c>
      <c r="I755">
        <v>41</v>
      </c>
      <c r="J755">
        <f t="shared" si="41"/>
        <v>0</v>
      </c>
    </row>
    <row r="756" spans="1:10" x14ac:dyDescent="0.2">
      <c r="A756">
        <v>7</v>
      </c>
      <c r="B756" s="15" t="s">
        <v>419</v>
      </c>
      <c r="C756" t="s">
        <v>399</v>
      </c>
      <c r="D756" t="s">
        <v>401</v>
      </c>
      <c r="E756" s="17" t="s">
        <v>372</v>
      </c>
      <c r="H756">
        <f t="shared" si="42"/>
        <v>0</v>
      </c>
      <c r="I756">
        <v>41</v>
      </c>
      <c r="J756">
        <f t="shared" si="41"/>
        <v>0</v>
      </c>
    </row>
    <row r="757" spans="1:10" x14ac:dyDescent="0.2">
      <c r="A757">
        <v>7</v>
      </c>
      <c r="B757" s="15" t="s">
        <v>419</v>
      </c>
      <c r="C757" t="s">
        <v>399</v>
      </c>
      <c r="D757" t="s">
        <v>401</v>
      </c>
      <c r="E757" s="17" t="s">
        <v>373</v>
      </c>
      <c r="H757">
        <f t="shared" si="42"/>
        <v>0</v>
      </c>
      <c r="I757">
        <v>41</v>
      </c>
      <c r="J757">
        <f t="shared" si="41"/>
        <v>0</v>
      </c>
    </row>
    <row r="758" spans="1:10" x14ac:dyDescent="0.2">
      <c r="A758">
        <v>7</v>
      </c>
      <c r="B758" s="15" t="s">
        <v>419</v>
      </c>
      <c r="C758" t="s">
        <v>399</v>
      </c>
      <c r="D758" t="s">
        <v>401</v>
      </c>
      <c r="E758" s="17" t="s">
        <v>374</v>
      </c>
      <c r="H758">
        <f t="shared" si="42"/>
        <v>0</v>
      </c>
      <c r="I758">
        <v>41</v>
      </c>
      <c r="J758">
        <f t="shared" si="41"/>
        <v>0</v>
      </c>
    </row>
    <row r="759" spans="1:10" x14ac:dyDescent="0.2">
      <c r="A759">
        <v>7</v>
      </c>
      <c r="B759" s="15" t="s">
        <v>419</v>
      </c>
      <c r="C759" t="s">
        <v>399</v>
      </c>
      <c r="D759" t="s">
        <v>401</v>
      </c>
      <c r="E759" s="17" t="s">
        <v>375</v>
      </c>
      <c r="H759">
        <f t="shared" si="42"/>
        <v>0</v>
      </c>
      <c r="I759">
        <v>41</v>
      </c>
      <c r="J759">
        <f t="shared" si="41"/>
        <v>0</v>
      </c>
    </row>
    <row r="760" spans="1:10" x14ac:dyDescent="0.2">
      <c r="A760">
        <v>7</v>
      </c>
      <c r="B760" s="15" t="s">
        <v>419</v>
      </c>
      <c r="C760" t="s">
        <v>399</v>
      </c>
      <c r="D760" t="s">
        <v>401</v>
      </c>
      <c r="E760" s="17" t="s">
        <v>376</v>
      </c>
      <c r="H760">
        <f t="shared" si="42"/>
        <v>0</v>
      </c>
      <c r="I760">
        <v>41</v>
      </c>
      <c r="J760">
        <f t="shared" si="41"/>
        <v>0</v>
      </c>
    </row>
    <row r="761" spans="1:10" x14ac:dyDescent="0.2">
      <c r="A761">
        <v>7</v>
      </c>
      <c r="B761" s="15" t="s">
        <v>419</v>
      </c>
      <c r="C761" t="s">
        <v>399</v>
      </c>
      <c r="D761" t="s">
        <v>401</v>
      </c>
      <c r="E761" s="17" t="s">
        <v>377</v>
      </c>
      <c r="H761">
        <f t="shared" si="42"/>
        <v>0</v>
      </c>
      <c r="I761">
        <v>41</v>
      </c>
      <c r="J761">
        <f t="shared" si="41"/>
        <v>0</v>
      </c>
    </row>
    <row r="762" spans="1:10" x14ac:dyDescent="0.2">
      <c r="A762">
        <v>7</v>
      </c>
      <c r="B762" s="15" t="s">
        <v>419</v>
      </c>
      <c r="C762" t="s">
        <v>399</v>
      </c>
      <c r="D762" t="s">
        <v>401</v>
      </c>
      <c r="E762" s="17" t="s">
        <v>378</v>
      </c>
      <c r="H762">
        <f t="shared" si="42"/>
        <v>0</v>
      </c>
      <c r="I762">
        <v>41</v>
      </c>
      <c r="J762">
        <f t="shared" si="41"/>
        <v>0</v>
      </c>
    </row>
    <row r="763" spans="1:10" x14ac:dyDescent="0.2">
      <c r="A763">
        <v>7</v>
      </c>
      <c r="B763" s="15" t="s">
        <v>419</v>
      </c>
      <c r="C763" t="s">
        <v>399</v>
      </c>
      <c r="D763" t="s">
        <v>401</v>
      </c>
      <c r="E763" s="17" t="s">
        <v>384</v>
      </c>
      <c r="H763">
        <f t="shared" si="42"/>
        <v>0</v>
      </c>
      <c r="I763">
        <v>41</v>
      </c>
      <c r="J763">
        <f t="shared" si="41"/>
        <v>0</v>
      </c>
    </row>
    <row r="764" spans="1:10" x14ac:dyDescent="0.2">
      <c r="A764">
        <v>7</v>
      </c>
      <c r="B764" s="15" t="s">
        <v>419</v>
      </c>
      <c r="C764" t="s">
        <v>399</v>
      </c>
      <c r="D764" t="s">
        <v>401</v>
      </c>
      <c r="E764" s="17" t="s">
        <v>385</v>
      </c>
      <c r="H764">
        <f t="shared" si="42"/>
        <v>0</v>
      </c>
      <c r="I764">
        <v>41</v>
      </c>
      <c r="J764">
        <f t="shared" si="41"/>
        <v>0</v>
      </c>
    </row>
    <row r="765" spans="1:10" x14ac:dyDescent="0.2">
      <c r="A765">
        <v>7</v>
      </c>
      <c r="B765" s="15" t="s">
        <v>419</v>
      </c>
      <c r="C765" t="s">
        <v>399</v>
      </c>
      <c r="D765" t="s">
        <v>401</v>
      </c>
      <c r="E765" s="17" t="s">
        <v>386</v>
      </c>
      <c r="H765">
        <f t="shared" si="42"/>
        <v>0</v>
      </c>
      <c r="I765">
        <v>41</v>
      </c>
      <c r="J765">
        <f t="shared" si="41"/>
        <v>0</v>
      </c>
    </row>
    <row r="766" spans="1:10" x14ac:dyDescent="0.2">
      <c r="A766">
        <v>7</v>
      </c>
      <c r="B766" s="15" t="s">
        <v>419</v>
      </c>
      <c r="C766" t="s">
        <v>399</v>
      </c>
      <c r="D766" t="s">
        <v>401</v>
      </c>
      <c r="E766" s="17" t="s">
        <v>387</v>
      </c>
      <c r="H766">
        <f t="shared" si="42"/>
        <v>0</v>
      </c>
      <c r="I766">
        <v>41</v>
      </c>
      <c r="J766">
        <f t="shared" si="41"/>
        <v>0</v>
      </c>
    </row>
    <row r="767" spans="1:10" x14ac:dyDescent="0.2">
      <c r="A767">
        <v>7</v>
      </c>
      <c r="B767" s="15" t="s">
        <v>419</v>
      </c>
      <c r="C767" t="s">
        <v>399</v>
      </c>
      <c r="D767" t="s">
        <v>401</v>
      </c>
      <c r="E767" s="17" t="s">
        <v>388</v>
      </c>
      <c r="H767">
        <f t="shared" si="42"/>
        <v>0</v>
      </c>
      <c r="I767">
        <v>41</v>
      </c>
      <c r="J767">
        <f t="shared" si="41"/>
        <v>0</v>
      </c>
    </row>
    <row r="768" spans="1:10" x14ac:dyDescent="0.2">
      <c r="A768">
        <v>7</v>
      </c>
      <c r="B768" s="15" t="s">
        <v>419</v>
      </c>
      <c r="C768" t="s">
        <v>399</v>
      </c>
      <c r="D768" t="s">
        <v>401</v>
      </c>
      <c r="E768" s="17" t="s">
        <v>389</v>
      </c>
      <c r="H768">
        <f t="shared" si="42"/>
        <v>0</v>
      </c>
      <c r="I768">
        <v>41</v>
      </c>
      <c r="J768">
        <f t="shared" si="41"/>
        <v>0</v>
      </c>
    </row>
    <row r="769" spans="1:10" x14ac:dyDescent="0.2">
      <c r="A769">
        <v>7</v>
      </c>
      <c r="B769" s="15" t="s">
        <v>419</v>
      </c>
      <c r="C769" t="s">
        <v>399</v>
      </c>
      <c r="D769" t="s">
        <v>401</v>
      </c>
      <c r="E769" s="17" t="s">
        <v>390</v>
      </c>
      <c r="H769">
        <f t="shared" si="42"/>
        <v>0</v>
      </c>
      <c r="I769">
        <v>41</v>
      </c>
      <c r="J769">
        <f t="shared" si="41"/>
        <v>0</v>
      </c>
    </row>
    <row r="770" spans="1:10" x14ac:dyDescent="0.2">
      <c r="A770">
        <v>7</v>
      </c>
      <c r="B770" s="15" t="s">
        <v>419</v>
      </c>
      <c r="C770" t="s">
        <v>399</v>
      </c>
      <c r="D770" t="s">
        <v>401</v>
      </c>
      <c r="E770" s="17" t="s">
        <v>391</v>
      </c>
      <c r="H770">
        <f t="shared" si="42"/>
        <v>0</v>
      </c>
      <c r="I770">
        <v>41</v>
      </c>
      <c r="J770">
        <f t="shared" si="41"/>
        <v>0</v>
      </c>
    </row>
    <row r="771" spans="1:10" x14ac:dyDescent="0.2">
      <c r="A771">
        <v>7</v>
      </c>
      <c r="B771" s="15" t="s">
        <v>419</v>
      </c>
      <c r="C771" t="s">
        <v>399</v>
      </c>
      <c r="D771" t="s">
        <v>401</v>
      </c>
      <c r="E771" s="17" t="s">
        <v>392</v>
      </c>
      <c r="H771">
        <f t="shared" si="42"/>
        <v>0</v>
      </c>
      <c r="I771">
        <v>41</v>
      </c>
      <c r="J771">
        <f t="shared" si="41"/>
        <v>0</v>
      </c>
    </row>
    <row r="772" spans="1:10" x14ac:dyDescent="0.2">
      <c r="A772">
        <v>7</v>
      </c>
      <c r="B772" s="15" t="s">
        <v>419</v>
      </c>
      <c r="C772" t="s">
        <v>399</v>
      </c>
      <c r="D772" t="s">
        <v>401</v>
      </c>
      <c r="E772" s="17" t="s">
        <v>393</v>
      </c>
      <c r="H772">
        <f t="shared" si="42"/>
        <v>0</v>
      </c>
      <c r="I772">
        <v>41</v>
      </c>
      <c r="J772">
        <f t="shared" si="41"/>
        <v>0</v>
      </c>
    </row>
    <row r="773" spans="1:10" x14ac:dyDescent="0.2">
      <c r="A773">
        <v>7</v>
      </c>
      <c r="B773" s="15" t="s">
        <v>419</v>
      </c>
      <c r="C773" t="s">
        <v>399</v>
      </c>
      <c r="D773" t="s">
        <v>401</v>
      </c>
      <c r="E773" s="17" t="s">
        <v>394</v>
      </c>
      <c r="H773">
        <f t="shared" si="42"/>
        <v>0</v>
      </c>
      <c r="I773">
        <v>41</v>
      </c>
      <c r="J773">
        <f t="shared" si="41"/>
        <v>0</v>
      </c>
    </row>
    <row r="774" spans="1:10" x14ac:dyDescent="0.2">
      <c r="A774">
        <v>7</v>
      </c>
      <c r="B774" s="15" t="s">
        <v>419</v>
      </c>
      <c r="C774" t="s">
        <v>399</v>
      </c>
      <c r="D774" t="s">
        <v>401</v>
      </c>
      <c r="E774" s="17" t="s">
        <v>395</v>
      </c>
      <c r="H774">
        <f t="shared" si="42"/>
        <v>0</v>
      </c>
      <c r="I774">
        <v>41</v>
      </c>
      <c r="J774">
        <f t="shared" si="41"/>
        <v>0</v>
      </c>
    </row>
    <row r="775" spans="1:10" x14ac:dyDescent="0.2">
      <c r="A775">
        <v>7</v>
      </c>
      <c r="B775" s="15" t="s">
        <v>419</v>
      </c>
      <c r="C775" t="s">
        <v>399</v>
      </c>
      <c r="D775" t="s">
        <v>401</v>
      </c>
      <c r="E775" s="17" t="s">
        <v>396</v>
      </c>
      <c r="H775">
        <f t="shared" si="42"/>
        <v>0</v>
      </c>
      <c r="I775">
        <v>41</v>
      </c>
      <c r="J775">
        <f t="shared" si="41"/>
        <v>0</v>
      </c>
    </row>
    <row r="776" spans="1:10" x14ac:dyDescent="0.2">
      <c r="A776">
        <v>7</v>
      </c>
      <c r="B776" s="15" t="s">
        <v>419</v>
      </c>
      <c r="C776" t="s">
        <v>399</v>
      </c>
      <c r="D776" t="s">
        <v>380</v>
      </c>
      <c r="E776" s="17" t="s">
        <v>362</v>
      </c>
      <c r="H776">
        <f t="shared" si="42"/>
        <v>0</v>
      </c>
      <c r="I776">
        <v>41</v>
      </c>
    </row>
    <row r="777" spans="1:10" x14ac:dyDescent="0.2">
      <c r="A777">
        <v>7</v>
      </c>
      <c r="B777" s="15" t="s">
        <v>419</v>
      </c>
      <c r="C777" t="s">
        <v>399</v>
      </c>
      <c r="D777" t="s">
        <v>380</v>
      </c>
      <c r="E777" s="17" t="s">
        <v>363</v>
      </c>
      <c r="H777">
        <f t="shared" si="42"/>
        <v>0</v>
      </c>
      <c r="I777">
        <v>41</v>
      </c>
      <c r="J777">
        <f t="shared" ref="J777:J805" si="43">F777-F776</f>
        <v>0</v>
      </c>
    </row>
    <row r="778" spans="1:10" x14ac:dyDescent="0.2">
      <c r="A778">
        <v>7</v>
      </c>
      <c r="B778" s="15" t="s">
        <v>419</v>
      </c>
      <c r="C778" t="s">
        <v>399</v>
      </c>
      <c r="D778" t="s">
        <v>380</v>
      </c>
      <c r="E778" s="17" t="s">
        <v>364</v>
      </c>
      <c r="H778">
        <f t="shared" si="42"/>
        <v>0</v>
      </c>
      <c r="I778">
        <v>41</v>
      </c>
      <c r="J778">
        <f t="shared" si="43"/>
        <v>0</v>
      </c>
    </row>
    <row r="779" spans="1:10" x14ac:dyDescent="0.2">
      <c r="A779">
        <v>7</v>
      </c>
      <c r="B779" s="15" t="s">
        <v>419</v>
      </c>
      <c r="C779" t="s">
        <v>399</v>
      </c>
      <c r="D779" t="s">
        <v>380</v>
      </c>
      <c r="E779" s="17" t="s">
        <v>365</v>
      </c>
      <c r="H779">
        <f t="shared" si="42"/>
        <v>0</v>
      </c>
      <c r="I779">
        <v>41</v>
      </c>
      <c r="J779">
        <f t="shared" si="43"/>
        <v>0</v>
      </c>
    </row>
    <row r="780" spans="1:10" x14ac:dyDescent="0.2">
      <c r="A780">
        <v>7</v>
      </c>
      <c r="B780" s="15" t="s">
        <v>419</v>
      </c>
      <c r="C780" t="s">
        <v>399</v>
      </c>
      <c r="D780" t="s">
        <v>380</v>
      </c>
      <c r="E780" s="17" t="s">
        <v>366</v>
      </c>
      <c r="H780">
        <f t="shared" si="42"/>
        <v>0</v>
      </c>
      <c r="I780">
        <v>41</v>
      </c>
      <c r="J780">
        <f t="shared" si="43"/>
        <v>0</v>
      </c>
    </row>
    <row r="781" spans="1:10" x14ac:dyDescent="0.2">
      <c r="A781">
        <v>7</v>
      </c>
      <c r="B781" s="15" t="s">
        <v>419</v>
      </c>
      <c r="C781" t="s">
        <v>399</v>
      </c>
      <c r="D781" t="s">
        <v>380</v>
      </c>
      <c r="E781" s="17" t="s">
        <v>367</v>
      </c>
      <c r="H781">
        <f t="shared" si="42"/>
        <v>0</v>
      </c>
      <c r="I781">
        <v>41</v>
      </c>
      <c r="J781">
        <f t="shared" si="43"/>
        <v>0</v>
      </c>
    </row>
    <row r="782" spans="1:10" x14ac:dyDescent="0.2">
      <c r="A782">
        <v>7</v>
      </c>
      <c r="B782" s="15" t="s">
        <v>419</v>
      </c>
      <c r="C782" t="s">
        <v>399</v>
      </c>
      <c r="D782" t="s">
        <v>380</v>
      </c>
      <c r="E782" s="17" t="s">
        <v>368</v>
      </c>
      <c r="H782">
        <f t="shared" si="42"/>
        <v>0</v>
      </c>
      <c r="I782">
        <v>41</v>
      </c>
      <c r="J782">
        <f t="shared" si="43"/>
        <v>0</v>
      </c>
    </row>
    <row r="783" spans="1:10" x14ac:dyDescent="0.2">
      <c r="A783">
        <v>7</v>
      </c>
      <c r="B783" s="15" t="s">
        <v>419</v>
      </c>
      <c r="C783" t="s">
        <v>399</v>
      </c>
      <c r="D783" t="s">
        <v>380</v>
      </c>
      <c r="E783" s="17" t="s">
        <v>369</v>
      </c>
      <c r="H783">
        <f t="shared" si="42"/>
        <v>0</v>
      </c>
      <c r="I783">
        <v>41</v>
      </c>
      <c r="J783">
        <f t="shared" si="43"/>
        <v>0</v>
      </c>
    </row>
    <row r="784" spans="1:10" x14ac:dyDescent="0.2">
      <c r="A784">
        <v>7</v>
      </c>
      <c r="B784" s="15" t="s">
        <v>419</v>
      </c>
      <c r="C784" t="s">
        <v>399</v>
      </c>
      <c r="D784" t="s">
        <v>380</v>
      </c>
      <c r="E784" s="17" t="s">
        <v>370</v>
      </c>
      <c r="H784">
        <f t="shared" si="42"/>
        <v>0</v>
      </c>
      <c r="I784">
        <v>41</v>
      </c>
      <c r="J784">
        <f t="shared" si="43"/>
        <v>0</v>
      </c>
    </row>
    <row r="785" spans="1:10" x14ac:dyDescent="0.2">
      <c r="A785">
        <v>7</v>
      </c>
      <c r="B785" s="15" t="s">
        <v>419</v>
      </c>
      <c r="C785" t="s">
        <v>399</v>
      </c>
      <c r="D785" t="s">
        <v>380</v>
      </c>
      <c r="E785" s="17" t="s">
        <v>371</v>
      </c>
      <c r="H785">
        <f t="shared" si="42"/>
        <v>0</v>
      </c>
      <c r="I785">
        <v>41</v>
      </c>
      <c r="J785">
        <f t="shared" si="43"/>
        <v>0</v>
      </c>
    </row>
    <row r="786" spans="1:10" x14ac:dyDescent="0.2">
      <c r="A786">
        <v>7</v>
      </c>
      <c r="B786" s="15" t="s">
        <v>419</v>
      </c>
      <c r="C786" t="s">
        <v>399</v>
      </c>
      <c r="D786" t="s">
        <v>380</v>
      </c>
      <c r="E786" s="17" t="s">
        <v>372</v>
      </c>
      <c r="H786">
        <f t="shared" si="42"/>
        <v>0</v>
      </c>
      <c r="I786">
        <v>41</v>
      </c>
      <c r="J786">
        <f t="shared" si="43"/>
        <v>0</v>
      </c>
    </row>
    <row r="787" spans="1:10" x14ac:dyDescent="0.2">
      <c r="A787">
        <v>7</v>
      </c>
      <c r="B787" s="15" t="s">
        <v>419</v>
      </c>
      <c r="C787" t="s">
        <v>399</v>
      </c>
      <c r="D787" t="s">
        <v>380</v>
      </c>
      <c r="E787" s="17" t="s">
        <v>373</v>
      </c>
      <c r="H787">
        <f t="shared" si="42"/>
        <v>0</v>
      </c>
      <c r="I787">
        <v>41</v>
      </c>
      <c r="J787">
        <f t="shared" si="43"/>
        <v>0</v>
      </c>
    </row>
    <row r="788" spans="1:10" x14ac:dyDescent="0.2">
      <c r="A788">
        <v>7</v>
      </c>
      <c r="B788" s="15" t="s">
        <v>419</v>
      </c>
      <c r="C788" t="s">
        <v>399</v>
      </c>
      <c r="D788" t="s">
        <v>380</v>
      </c>
      <c r="E788" s="17" t="s">
        <v>374</v>
      </c>
      <c r="H788">
        <f t="shared" si="42"/>
        <v>0</v>
      </c>
      <c r="I788">
        <v>41</v>
      </c>
      <c r="J788">
        <f t="shared" si="43"/>
        <v>0</v>
      </c>
    </row>
    <row r="789" spans="1:10" x14ac:dyDescent="0.2">
      <c r="A789">
        <v>7</v>
      </c>
      <c r="B789" s="15" t="s">
        <v>419</v>
      </c>
      <c r="C789" t="s">
        <v>399</v>
      </c>
      <c r="D789" t="s">
        <v>380</v>
      </c>
      <c r="E789" s="17" t="s">
        <v>375</v>
      </c>
      <c r="H789">
        <f t="shared" si="42"/>
        <v>0</v>
      </c>
      <c r="I789">
        <v>41</v>
      </c>
      <c r="J789">
        <f t="shared" si="43"/>
        <v>0</v>
      </c>
    </row>
    <row r="790" spans="1:10" x14ac:dyDescent="0.2">
      <c r="A790">
        <v>7</v>
      </c>
      <c r="B790" s="15" t="s">
        <v>419</v>
      </c>
      <c r="C790" t="s">
        <v>399</v>
      </c>
      <c r="D790" t="s">
        <v>380</v>
      </c>
      <c r="E790" s="17" t="s">
        <v>376</v>
      </c>
      <c r="H790">
        <f t="shared" si="42"/>
        <v>0</v>
      </c>
      <c r="I790">
        <v>41</v>
      </c>
      <c r="J790">
        <f t="shared" si="43"/>
        <v>0</v>
      </c>
    </row>
    <row r="791" spans="1:10" x14ac:dyDescent="0.2">
      <c r="A791">
        <v>7</v>
      </c>
      <c r="B791" s="15" t="s">
        <v>419</v>
      </c>
      <c r="C791" t="s">
        <v>399</v>
      </c>
      <c r="D791" t="s">
        <v>380</v>
      </c>
      <c r="E791" s="17" t="s">
        <v>377</v>
      </c>
      <c r="H791">
        <f t="shared" si="42"/>
        <v>0</v>
      </c>
      <c r="I791">
        <v>41</v>
      </c>
      <c r="J791">
        <f t="shared" si="43"/>
        <v>0</v>
      </c>
    </row>
    <row r="792" spans="1:10" x14ac:dyDescent="0.2">
      <c r="A792">
        <v>7</v>
      </c>
      <c r="B792" s="15" t="s">
        <v>419</v>
      </c>
      <c r="C792" t="s">
        <v>399</v>
      </c>
      <c r="D792" t="s">
        <v>380</v>
      </c>
      <c r="E792" s="17" t="s">
        <v>378</v>
      </c>
      <c r="H792">
        <f t="shared" si="42"/>
        <v>0</v>
      </c>
      <c r="I792">
        <v>41</v>
      </c>
      <c r="J792">
        <f t="shared" si="43"/>
        <v>0</v>
      </c>
    </row>
    <row r="793" spans="1:10" x14ac:dyDescent="0.2">
      <c r="A793">
        <v>7</v>
      </c>
      <c r="B793" s="15" t="s">
        <v>419</v>
      </c>
      <c r="C793" t="s">
        <v>399</v>
      </c>
      <c r="D793" t="s">
        <v>380</v>
      </c>
      <c r="E793" s="17" t="s">
        <v>384</v>
      </c>
      <c r="H793">
        <f t="shared" si="42"/>
        <v>0</v>
      </c>
      <c r="I793">
        <v>41</v>
      </c>
      <c r="J793">
        <f t="shared" si="43"/>
        <v>0</v>
      </c>
    </row>
    <row r="794" spans="1:10" x14ac:dyDescent="0.2">
      <c r="A794">
        <v>7</v>
      </c>
      <c r="B794" s="15" t="s">
        <v>419</v>
      </c>
      <c r="C794" t="s">
        <v>399</v>
      </c>
      <c r="D794" t="s">
        <v>380</v>
      </c>
      <c r="E794" s="17" t="s">
        <v>385</v>
      </c>
      <c r="H794">
        <f t="shared" si="42"/>
        <v>0</v>
      </c>
      <c r="I794">
        <v>41</v>
      </c>
      <c r="J794">
        <f t="shared" si="43"/>
        <v>0</v>
      </c>
    </row>
    <row r="795" spans="1:10" x14ac:dyDescent="0.2">
      <c r="A795">
        <v>7</v>
      </c>
      <c r="B795" s="15" t="s">
        <v>419</v>
      </c>
      <c r="C795" t="s">
        <v>399</v>
      </c>
      <c r="D795" t="s">
        <v>380</v>
      </c>
      <c r="E795" s="17" t="s">
        <v>386</v>
      </c>
      <c r="H795">
        <f t="shared" si="42"/>
        <v>0</v>
      </c>
      <c r="I795">
        <v>41</v>
      </c>
      <c r="J795">
        <f t="shared" si="43"/>
        <v>0</v>
      </c>
    </row>
    <row r="796" spans="1:10" x14ac:dyDescent="0.2">
      <c r="A796">
        <v>7</v>
      </c>
      <c r="B796" s="15" t="s">
        <v>419</v>
      </c>
      <c r="C796" t="s">
        <v>399</v>
      </c>
      <c r="D796" t="s">
        <v>380</v>
      </c>
      <c r="E796" s="17" t="s">
        <v>387</v>
      </c>
      <c r="H796">
        <f t="shared" si="42"/>
        <v>0</v>
      </c>
      <c r="I796">
        <v>41</v>
      </c>
      <c r="J796">
        <f t="shared" si="43"/>
        <v>0</v>
      </c>
    </row>
    <row r="797" spans="1:10" x14ac:dyDescent="0.2">
      <c r="A797">
        <v>7</v>
      </c>
      <c r="B797" s="15" t="s">
        <v>419</v>
      </c>
      <c r="C797" t="s">
        <v>399</v>
      </c>
      <c r="D797" t="s">
        <v>380</v>
      </c>
      <c r="E797" s="17" t="s">
        <v>388</v>
      </c>
      <c r="H797">
        <f t="shared" si="42"/>
        <v>0</v>
      </c>
      <c r="I797">
        <v>41</v>
      </c>
      <c r="J797">
        <f t="shared" si="43"/>
        <v>0</v>
      </c>
    </row>
    <row r="798" spans="1:10" x14ac:dyDescent="0.2">
      <c r="A798">
        <v>7</v>
      </c>
      <c r="B798" s="15" t="s">
        <v>419</v>
      </c>
      <c r="C798" t="s">
        <v>399</v>
      </c>
      <c r="D798" t="s">
        <v>380</v>
      </c>
      <c r="E798" s="17" t="s">
        <v>389</v>
      </c>
      <c r="H798">
        <f t="shared" si="42"/>
        <v>0</v>
      </c>
      <c r="I798">
        <v>41</v>
      </c>
      <c r="J798">
        <f t="shared" si="43"/>
        <v>0</v>
      </c>
    </row>
    <row r="799" spans="1:10" x14ac:dyDescent="0.2">
      <c r="A799">
        <v>7</v>
      </c>
      <c r="B799" s="15" t="s">
        <v>419</v>
      </c>
      <c r="C799" t="s">
        <v>399</v>
      </c>
      <c r="D799" t="s">
        <v>380</v>
      </c>
      <c r="E799" s="17" t="s">
        <v>390</v>
      </c>
      <c r="H799">
        <f t="shared" si="42"/>
        <v>0</v>
      </c>
      <c r="I799">
        <v>41</v>
      </c>
      <c r="J799">
        <f t="shared" si="43"/>
        <v>0</v>
      </c>
    </row>
    <row r="800" spans="1:10" x14ac:dyDescent="0.2">
      <c r="A800">
        <v>7</v>
      </c>
      <c r="B800" s="15" t="s">
        <v>419</v>
      </c>
      <c r="C800" t="s">
        <v>399</v>
      </c>
      <c r="D800" t="s">
        <v>380</v>
      </c>
      <c r="E800" s="17" t="s">
        <v>391</v>
      </c>
      <c r="H800">
        <f t="shared" si="42"/>
        <v>0</v>
      </c>
      <c r="I800">
        <v>41</v>
      </c>
      <c r="J800">
        <f t="shared" si="43"/>
        <v>0</v>
      </c>
    </row>
    <row r="801" spans="1:10" x14ac:dyDescent="0.2">
      <c r="A801">
        <v>7</v>
      </c>
      <c r="B801" s="15" t="s">
        <v>419</v>
      </c>
      <c r="C801" t="s">
        <v>399</v>
      </c>
      <c r="D801" t="s">
        <v>380</v>
      </c>
      <c r="E801" s="17" t="s">
        <v>392</v>
      </c>
      <c r="H801">
        <f t="shared" si="42"/>
        <v>0</v>
      </c>
      <c r="I801">
        <v>41</v>
      </c>
      <c r="J801">
        <f t="shared" si="43"/>
        <v>0</v>
      </c>
    </row>
    <row r="802" spans="1:10" x14ac:dyDescent="0.2">
      <c r="A802">
        <v>7</v>
      </c>
      <c r="B802" s="15" t="s">
        <v>419</v>
      </c>
      <c r="C802" t="s">
        <v>399</v>
      </c>
      <c r="D802" t="s">
        <v>380</v>
      </c>
      <c r="E802" s="17" t="s">
        <v>393</v>
      </c>
      <c r="H802">
        <f t="shared" si="42"/>
        <v>0</v>
      </c>
      <c r="I802">
        <v>41</v>
      </c>
      <c r="J802">
        <f t="shared" si="43"/>
        <v>0</v>
      </c>
    </row>
    <row r="803" spans="1:10" x14ac:dyDescent="0.2">
      <c r="A803">
        <v>7</v>
      </c>
      <c r="B803" s="15" t="s">
        <v>419</v>
      </c>
      <c r="C803" t="s">
        <v>399</v>
      </c>
      <c r="D803" t="s">
        <v>380</v>
      </c>
      <c r="E803" s="17" t="s">
        <v>394</v>
      </c>
      <c r="H803">
        <f t="shared" si="42"/>
        <v>0</v>
      </c>
      <c r="I803">
        <v>41</v>
      </c>
      <c r="J803">
        <f t="shared" si="43"/>
        <v>0</v>
      </c>
    </row>
    <row r="804" spans="1:10" x14ac:dyDescent="0.2">
      <c r="A804">
        <v>7</v>
      </c>
      <c r="B804" s="15" t="s">
        <v>419</v>
      </c>
      <c r="C804" t="s">
        <v>399</v>
      </c>
      <c r="D804" t="s">
        <v>380</v>
      </c>
      <c r="E804" s="17" t="s">
        <v>395</v>
      </c>
      <c r="H804">
        <f t="shared" si="42"/>
        <v>0</v>
      </c>
      <c r="I804">
        <v>41</v>
      </c>
      <c r="J804">
        <f t="shared" si="43"/>
        <v>0</v>
      </c>
    </row>
    <row r="805" spans="1:10" x14ac:dyDescent="0.2">
      <c r="A805">
        <v>7</v>
      </c>
      <c r="B805" s="15" t="s">
        <v>419</v>
      </c>
      <c r="C805" t="s">
        <v>399</v>
      </c>
      <c r="D805" t="s">
        <v>380</v>
      </c>
      <c r="E805" s="17" t="s">
        <v>396</v>
      </c>
      <c r="H805">
        <f t="shared" si="42"/>
        <v>0</v>
      </c>
      <c r="I805">
        <v>41</v>
      </c>
      <c r="J805">
        <f t="shared" si="43"/>
        <v>0</v>
      </c>
    </row>
    <row r="806" spans="1:10" x14ac:dyDescent="0.2">
      <c r="A806">
        <v>8</v>
      </c>
      <c r="B806" s="15" t="s">
        <v>420</v>
      </c>
      <c r="C806" t="s">
        <v>399</v>
      </c>
      <c r="D806" t="s">
        <v>401</v>
      </c>
      <c r="E806" s="17" t="s">
        <v>362</v>
      </c>
      <c r="H806">
        <f>F806-G806</f>
        <v>0</v>
      </c>
      <c r="I806">
        <v>101</v>
      </c>
    </row>
    <row r="807" spans="1:10" x14ac:dyDescent="0.2">
      <c r="A807">
        <v>8</v>
      </c>
      <c r="B807" s="15" t="s">
        <v>420</v>
      </c>
      <c r="C807" t="s">
        <v>399</v>
      </c>
      <c r="D807" t="s">
        <v>401</v>
      </c>
      <c r="E807" s="17" t="s">
        <v>363</v>
      </c>
      <c r="H807">
        <f>F807-G807</f>
        <v>0</v>
      </c>
      <c r="I807">
        <v>101</v>
      </c>
      <c r="J807">
        <f t="shared" ref="J807:J835" si="44">F807-F806</f>
        <v>0</v>
      </c>
    </row>
    <row r="808" spans="1:10" x14ac:dyDescent="0.2">
      <c r="A808">
        <v>8</v>
      </c>
      <c r="B808" s="15" t="s">
        <v>420</v>
      </c>
      <c r="C808" t="s">
        <v>399</v>
      </c>
      <c r="D808" t="s">
        <v>401</v>
      </c>
      <c r="E808" s="17" t="s">
        <v>364</v>
      </c>
      <c r="H808">
        <f>F808-G808</f>
        <v>0</v>
      </c>
      <c r="I808">
        <v>101</v>
      </c>
      <c r="J808">
        <f t="shared" si="44"/>
        <v>0</v>
      </c>
    </row>
    <row r="809" spans="1:10" x14ac:dyDescent="0.2">
      <c r="A809">
        <v>8</v>
      </c>
      <c r="B809" s="15" t="s">
        <v>420</v>
      </c>
      <c r="C809" t="s">
        <v>399</v>
      </c>
      <c r="D809" t="s">
        <v>401</v>
      </c>
      <c r="E809" s="17" t="s">
        <v>365</v>
      </c>
      <c r="H809">
        <f t="shared" ref="H809:H872" si="45">F809-G809</f>
        <v>0</v>
      </c>
      <c r="I809">
        <v>101</v>
      </c>
      <c r="J809">
        <f t="shared" si="44"/>
        <v>0</v>
      </c>
    </row>
    <row r="810" spans="1:10" x14ac:dyDescent="0.2">
      <c r="A810">
        <v>8</v>
      </c>
      <c r="B810" s="15" t="s">
        <v>420</v>
      </c>
      <c r="C810" t="s">
        <v>399</v>
      </c>
      <c r="D810" t="s">
        <v>401</v>
      </c>
      <c r="E810" s="17" t="s">
        <v>366</v>
      </c>
      <c r="H810">
        <f t="shared" si="45"/>
        <v>0</v>
      </c>
      <c r="I810">
        <v>101</v>
      </c>
      <c r="J810">
        <f t="shared" si="44"/>
        <v>0</v>
      </c>
    </row>
    <row r="811" spans="1:10" x14ac:dyDescent="0.2">
      <c r="A811">
        <v>8</v>
      </c>
      <c r="B811" s="15" t="s">
        <v>420</v>
      </c>
      <c r="C811" t="s">
        <v>399</v>
      </c>
      <c r="D811" t="s">
        <v>401</v>
      </c>
      <c r="E811" s="17" t="s">
        <v>367</v>
      </c>
      <c r="H811">
        <f t="shared" si="45"/>
        <v>0</v>
      </c>
      <c r="I811">
        <v>101</v>
      </c>
      <c r="J811">
        <f t="shared" si="44"/>
        <v>0</v>
      </c>
    </row>
    <row r="812" spans="1:10" x14ac:dyDescent="0.2">
      <c r="A812">
        <v>8</v>
      </c>
      <c r="B812" s="15" t="s">
        <v>420</v>
      </c>
      <c r="C812" t="s">
        <v>399</v>
      </c>
      <c r="D812" t="s">
        <v>401</v>
      </c>
      <c r="E812" s="17" t="s">
        <v>368</v>
      </c>
      <c r="H812">
        <f t="shared" si="45"/>
        <v>0</v>
      </c>
      <c r="I812">
        <v>101</v>
      </c>
      <c r="J812">
        <f t="shared" si="44"/>
        <v>0</v>
      </c>
    </row>
    <row r="813" spans="1:10" x14ac:dyDescent="0.2">
      <c r="A813">
        <v>8</v>
      </c>
      <c r="B813" s="15" t="s">
        <v>420</v>
      </c>
      <c r="C813" t="s">
        <v>399</v>
      </c>
      <c r="D813" t="s">
        <v>401</v>
      </c>
      <c r="E813" s="17" t="s">
        <v>369</v>
      </c>
      <c r="H813">
        <f t="shared" si="45"/>
        <v>0</v>
      </c>
      <c r="I813">
        <v>101</v>
      </c>
      <c r="J813">
        <f t="shared" si="44"/>
        <v>0</v>
      </c>
    </row>
    <row r="814" spans="1:10" x14ac:dyDescent="0.2">
      <c r="A814">
        <v>8</v>
      </c>
      <c r="B814" s="15" t="s">
        <v>420</v>
      </c>
      <c r="C814" t="s">
        <v>399</v>
      </c>
      <c r="D814" t="s">
        <v>401</v>
      </c>
      <c r="E814" s="17" t="s">
        <v>370</v>
      </c>
      <c r="H814">
        <f t="shared" si="45"/>
        <v>0</v>
      </c>
      <c r="I814">
        <v>101</v>
      </c>
      <c r="J814">
        <f t="shared" si="44"/>
        <v>0</v>
      </c>
    </row>
    <row r="815" spans="1:10" x14ac:dyDescent="0.2">
      <c r="A815">
        <v>8</v>
      </c>
      <c r="B815" s="15" t="s">
        <v>420</v>
      </c>
      <c r="C815" t="s">
        <v>399</v>
      </c>
      <c r="D815" t="s">
        <v>401</v>
      </c>
      <c r="E815" s="17" t="s">
        <v>371</v>
      </c>
      <c r="H815">
        <f t="shared" si="45"/>
        <v>0</v>
      </c>
      <c r="I815">
        <v>101</v>
      </c>
      <c r="J815">
        <f t="shared" si="44"/>
        <v>0</v>
      </c>
    </row>
    <row r="816" spans="1:10" x14ac:dyDescent="0.2">
      <c r="A816">
        <v>8</v>
      </c>
      <c r="B816" s="15" t="s">
        <v>420</v>
      </c>
      <c r="C816" t="s">
        <v>399</v>
      </c>
      <c r="D816" t="s">
        <v>401</v>
      </c>
      <c r="E816" s="17" t="s">
        <v>372</v>
      </c>
      <c r="H816">
        <f t="shared" si="45"/>
        <v>0</v>
      </c>
      <c r="I816">
        <v>101</v>
      </c>
      <c r="J816">
        <f t="shared" si="44"/>
        <v>0</v>
      </c>
    </row>
    <row r="817" spans="1:10" x14ac:dyDescent="0.2">
      <c r="A817">
        <v>8</v>
      </c>
      <c r="B817" s="15" t="s">
        <v>420</v>
      </c>
      <c r="C817" t="s">
        <v>399</v>
      </c>
      <c r="D817" t="s">
        <v>401</v>
      </c>
      <c r="E817" s="17" t="s">
        <v>373</v>
      </c>
      <c r="H817">
        <f t="shared" si="45"/>
        <v>0</v>
      </c>
      <c r="I817">
        <v>101</v>
      </c>
      <c r="J817">
        <f t="shared" si="44"/>
        <v>0</v>
      </c>
    </row>
    <row r="818" spans="1:10" x14ac:dyDescent="0.2">
      <c r="A818">
        <v>8</v>
      </c>
      <c r="B818" s="15" t="s">
        <v>420</v>
      </c>
      <c r="C818" t="s">
        <v>399</v>
      </c>
      <c r="D818" t="s">
        <v>401</v>
      </c>
      <c r="E818" s="17" t="s">
        <v>374</v>
      </c>
      <c r="H818">
        <f t="shared" si="45"/>
        <v>0</v>
      </c>
      <c r="I818">
        <v>101</v>
      </c>
      <c r="J818">
        <f t="shared" si="44"/>
        <v>0</v>
      </c>
    </row>
    <row r="819" spans="1:10" x14ac:dyDescent="0.2">
      <c r="A819">
        <v>8</v>
      </c>
      <c r="B819" s="15" t="s">
        <v>420</v>
      </c>
      <c r="C819" t="s">
        <v>399</v>
      </c>
      <c r="D819" t="s">
        <v>401</v>
      </c>
      <c r="E819" s="17" t="s">
        <v>375</v>
      </c>
      <c r="H819">
        <f t="shared" si="45"/>
        <v>0</v>
      </c>
      <c r="I819">
        <v>101</v>
      </c>
      <c r="J819">
        <f t="shared" si="44"/>
        <v>0</v>
      </c>
    </row>
    <row r="820" spans="1:10" x14ac:dyDescent="0.2">
      <c r="A820">
        <v>8</v>
      </c>
      <c r="B820" s="15" t="s">
        <v>420</v>
      </c>
      <c r="C820" t="s">
        <v>399</v>
      </c>
      <c r="D820" t="s">
        <v>401</v>
      </c>
      <c r="E820" s="17" t="s">
        <v>376</v>
      </c>
      <c r="H820">
        <f t="shared" si="45"/>
        <v>0</v>
      </c>
      <c r="I820">
        <v>101</v>
      </c>
      <c r="J820">
        <f t="shared" si="44"/>
        <v>0</v>
      </c>
    </row>
    <row r="821" spans="1:10" x14ac:dyDescent="0.2">
      <c r="A821">
        <v>8</v>
      </c>
      <c r="B821" s="15" t="s">
        <v>420</v>
      </c>
      <c r="C821" t="s">
        <v>399</v>
      </c>
      <c r="D821" t="s">
        <v>401</v>
      </c>
      <c r="E821" s="17" t="s">
        <v>377</v>
      </c>
      <c r="H821">
        <f t="shared" si="45"/>
        <v>0</v>
      </c>
      <c r="I821">
        <v>101</v>
      </c>
      <c r="J821">
        <f t="shared" si="44"/>
        <v>0</v>
      </c>
    </row>
    <row r="822" spans="1:10" x14ac:dyDescent="0.2">
      <c r="A822">
        <v>8</v>
      </c>
      <c r="B822" s="15" t="s">
        <v>420</v>
      </c>
      <c r="C822" t="s">
        <v>399</v>
      </c>
      <c r="D822" t="s">
        <v>401</v>
      </c>
      <c r="E822" s="17" t="s">
        <v>378</v>
      </c>
      <c r="H822">
        <f t="shared" si="45"/>
        <v>0</v>
      </c>
      <c r="I822">
        <v>101</v>
      </c>
      <c r="J822">
        <f t="shared" si="44"/>
        <v>0</v>
      </c>
    </row>
    <row r="823" spans="1:10" x14ac:dyDescent="0.2">
      <c r="A823">
        <v>8</v>
      </c>
      <c r="B823" s="15" t="s">
        <v>420</v>
      </c>
      <c r="C823" t="s">
        <v>399</v>
      </c>
      <c r="D823" t="s">
        <v>401</v>
      </c>
      <c r="E823" s="17" t="s">
        <v>384</v>
      </c>
      <c r="H823">
        <f t="shared" si="45"/>
        <v>0</v>
      </c>
      <c r="I823">
        <v>101</v>
      </c>
      <c r="J823">
        <f t="shared" si="44"/>
        <v>0</v>
      </c>
    </row>
    <row r="824" spans="1:10" x14ac:dyDescent="0.2">
      <c r="A824">
        <v>8</v>
      </c>
      <c r="B824" s="15" t="s">
        <v>420</v>
      </c>
      <c r="C824" t="s">
        <v>399</v>
      </c>
      <c r="D824" t="s">
        <v>401</v>
      </c>
      <c r="E824" s="17" t="s">
        <v>385</v>
      </c>
      <c r="H824">
        <f t="shared" si="45"/>
        <v>0</v>
      </c>
      <c r="I824">
        <v>101</v>
      </c>
      <c r="J824">
        <f t="shared" si="44"/>
        <v>0</v>
      </c>
    </row>
    <row r="825" spans="1:10" x14ac:dyDescent="0.2">
      <c r="A825">
        <v>8</v>
      </c>
      <c r="B825" s="15" t="s">
        <v>420</v>
      </c>
      <c r="C825" t="s">
        <v>399</v>
      </c>
      <c r="D825" t="s">
        <v>401</v>
      </c>
      <c r="E825" s="17" t="s">
        <v>386</v>
      </c>
      <c r="H825">
        <f t="shared" si="45"/>
        <v>0</v>
      </c>
      <c r="I825">
        <v>101</v>
      </c>
      <c r="J825">
        <f t="shared" si="44"/>
        <v>0</v>
      </c>
    </row>
    <row r="826" spans="1:10" x14ac:dyDescent="0.2">
      <c r="A826">
        <v>8</v>
      </c>
      <c r="B826" s="15" t="s">
        <v>420</v>
      </c>
      <c r="C826" t="s">
        <v>399</v>
      </c>
      <c r="D826" t="s">
        <v>401</v>
      </c>
      <c r="E826" s="17" t="s">
        <v>387</v>
      </c>
      <c r="H826">
        <f t="shared" si="45"/>
        <v>0</v>
      </c>
      <c r="I826">
        <v>101</v>
      </c>
      <c r="J826">
        <f t="shared" si="44"/>
        <v>0</v>
      </c>
    </row>
    <row r="827" spans="1:10" x14ac:dyDescent="0.2">
      <c r="A827">
        <v>8</v>
      </c>
      <c r="B827" s="15" t="s">
        <v>420</v>
      </c>
      <c r="C827" t="s">
        <v>399</v>
      </c>
      <c r="D827" t="s">
        <v>401</v>
      </c>
      <c r="E827" s="17" t="s">
        <v>388</v>
      </c>
      <c r="H827">
        <f t="shared" si="45"/>
        <v>0</v>
      </c>
      <c r="I827">
        <v>101</v>
      </c>
      <c r="J827">
        <f t="shared" si="44"/>
        <v>0</v>
      </c>
    </row>
    <row r="828" spans="1:10" x14ac:dyDescent="0.2">
      <c r="A828">
        <v>8</v>
      </c>
      <c r="B828" s="15" t="s">
        <v>420</v>
      </c>
      <c r="C828" t="s">
        <v>399</v>
      </c>
      <c r="D828" t="s">
        <v>401</v>
      </c>
      <c r="E828" s="17" t="s">
        <v>389</v>
      </c>
      <c r="H828">
        <f t="shared" si="45"/>
        <v>0</v>
      </c>
      <c r="I828">
        <v>101</v>
      </c>
      <c r="J828">
        <f t="shared" si="44"/>
        <v>0</v>
      </c>
    </row>
    <row r="829" spans="1:10" x14ac:dyDescent="0.2">
      <c r="A829">
        <v>8</v>
      </c>
      <c r="B829" s="15" t="s">
        <v>420</v>
      </c>
      <c r="C829" t="s">
        <v>399</v>
      </c>
      <c r="D829" t="s">
        <v>401</v>
      </c>
      <c r="E829" s="17" t="s">
        <v>390</v>
      </c>
      <c r="H829">
        <f t="shared" si="45"/>
        <v>0</v>
      </c>
      <c r="I829">
        <v>101</v>
      </c>
      <c r="J829">
        <f t="shared" si="44"/>
        <v>0</v>
      </c>
    </row>
    <row r="830" spans="1:10" x14ac:dyDescent="0.2">
      <c r="A830">
        <v>8</v>
      </c>
      <c r="B830" s="15" t="s">
        <v>420</v>
      </c>
      <c r="C830" t="s">
        <v>399</v>
      </c>
      <c r="D830" t="s">
        <v>401</v>
      </c>
      <c r="E830" s="17" t="s">
        <v>391</v>
      </c>
      <c r="H830">
        <f t="shared" si="45"/>
        <v>0</v>
      </c>
      <c r="I830">
        <v>101</v>
      </c>
      <c r="J830">
        <f t="shared" si="44"/>
        <v>0</v>
      </c>
    </row>
    <row r="831" spans="1:10" x14ac:dyDescent="0.2">
      <c r="A831">
        <v>8</v>
      </c>
      <c r="B831" s="15" t="s">
        <v>420</v>
      </c>
      <c r="C831" t="s">
        <v>399</v>
      </c>
      <c r="D831" t="s">
        <v>401</v>
      </c>
      <c r="E831" s="17" t="s">
        <v>392</v>
      </c>
      <c r="H831">
        <f t="shared" si="45"/>
        <v>0</v>
      </c>
      <c r="I831">
        <v>101</v>
      </c>
      <c r="J831">
        <f t="shared" si="44"/>
        <v>0</v>
      </c>
    </row>
    <row r="832" spans="1:10" x14ac:dyDescent="0.2">
      <c r="A832">
        <v>8</v>
      </c>
      <c r="B832" s="15" t="s">
        <v>420</v>
      </c>
      <c r="C832" t="s">
        <v>399</v>
      </c>
      <c r="D832" t="s">
        <v>401</v>
      </c>
      <c r="E832" s="17" t="s">
        <v>393</v>
      </c>
      <c r="H832">
        <f t="shared" si="45"/>
        <v>0</v>
      </c>
      <c r="I832">
        <v>101</v>
      </c>
      <c r="J832">
        <f t="shared" si="44"/>
        <v>0</v>
      </c>
    </row>
    <row r="833" spans="1:10" x14ac:dyDescent="0.2">
      <c r="A833">
        <v>8</v>
      </c>
      <c r="B833" s="15" t="s">
        <v>420</v>
      </c>
      <c r="C833" t="s">
        <v>399</v>
      </c>
      <c r="D833" t="s">
        <v>401</v>
      </c>
      <c r="E833" s="17" t="s">
        <v>394</v>
      </c>
      <c r="H833">
        <f t="shared" si="45"/>
        <v>0</v>
      </c>
      <c r="I833">
        <v>101</v>
      </c>
      <c r="J833">
        <f t="shared" si="44"/>
        <v>0</v>
      </c>
    </row>
    <row r="834" spans="1:10" x14ac:dyDescent="0.2">
      <c r="A834">
        <v>8</v>
      </c>
      <c r="B834" s="15" t="s">
        <v>420</v>
      </c>
      <c r="C834" t="s">
        <v>399</v>
      </c>
      <c r="D834" t="s">
        <v>401</v>
      </c>
      <c r="E834" s="17" t="s">
        <v>395</v>
      </c>
      <c r="H834">
        <f t="shared" si="45"/>
        <v>0</v>
      </c>
      <c r="I834">
        <v>101</v>
      </c>
      <c r="J834">
        <f t="shared" si="44"/>
        <v>0</v>
      </c>
    </row>
    <row r="835" spans="1:10" x14ac:dyDescent="0.2">
      <c r="A835">
        <v>8</v>
      </c>
      <c r="B835" s="15" t="s">
        <v>420</v>
      </c>
      <c r="C835" t="s">
        <v>399</v>
      </c>
      <c r="D835" t="s">
        <v>401</v>
      </c>
      <c r="E835" s="17" t="s">
        <v>396</v>
      </c>
      <c r="H835">
        <f t="shared" si="45"/>
        <v>0</v>
      </c>
      <c r="I835">
        <v>101</v>
      </c>
      <c r="J835">
        <f t="shared" si="44"/>
        <v>0</v>
      </c>
    </row>
    <row r="836" spans="1:10" x14ac:dyDescent="0.2">
      <c r="A836">
        <v>8</v>
      </c>
      <c r="B836" s="15" t="s">
        <v>420</v>
      </c>
      <c r="C836" t="s">
        <v>399</v>
      </c>
      <c r="D836" t="s">
        <v>380</v>
      </c>
      <c r="E836" s="17" t="s">
        <v>362</v>
      </c>
      <c r="H836">
        <f t="shared" si="45"/>
        <v>0</v>
      </c>
      <c r="I836">
        <v>101</v>
      </c>
    </row>
    <row r="837" spans="1:10" x14ac:dyDescent="0.2">
      <c r="A837">
        <v>8</v>
      </c>
      <c r="B837" s="15" t="s">
        <v>420</v>
      </c>
      <c r="C837" t="s">
        <v>399</v>
      </c>
      <c r="D837" t="s">
        <v>380</v>
      </c>
      <c r="E837" s="17" t="s">
        <v>363</v>
      </c>
      <c r="H837">
        <f t="shared" si="45"/>
        <v>0</v>
      </c>
      <c r="I837">
        <v>101</v>
      </c>
      <c r="J837">
        <f t="shared" ref="J837:J865" si="46">F837-F836</f>
        <v>0</v>
      </c>
    </row>
    <row r="838" spans="1:10" x14ac:dyDescent="0.2">
      <c r="A838">
        <v>8</v>
      </c>
      <c r="B838" s="15" t="s">
        <v>420</v>
      </c>
      <c r="C838" t="s">
        <v>399</v>
      </c>
      <c r="D838" t="s">
        <v>380</v>
      </c>
      <c r="E838" s="17" t="s">
        <v>364</v>
      </c>
      <c r="H838">
        <f t="shared" si="45"/>
        <v>0</v>
      </c>
      <c r="I838">
        <v>101</v>
      </c>
      <c r="J838">
        <f t="shared" si="46"/>
        <v>0</v>
      </c>
    </row>
    <row r="839" spans="1:10" x14ac:dyDescent="0.2">
      <c r="A839">
        <v>8</v>
      </c>
      <c r="B839" s="15" t="s">
        <v>420</v>
      </c>
      <c r="C839" t="s">
        <v>399</v>
      </c>
      <c r="D839" t="s">
        <v>380</v>
      </c>
      <c r="E839" s="17" t="s">
        <v>365</v>
      </c>
      <c r="H839">
        <f t="shared" si="45"/>
        <v>0</v>
      </c>
      <c r="I839">
        <v>101</v>
      </c>
      <c r="J839">
        <f t="shared" si="46"/>
        <v>0</v>
      </c>
    </row>
    <row r="840" spans="1:10" x14ac:dyDescent="0.2">
      <c r="A840">
        <v>8</v>
      </c>
      <c r="B840" s="15" t="s">
        <v>420</v>
      </c>
      <c r="C840" t="s">
        <v>399</v>
      </c>
      <c r="D840" t="s">
        <v>380</v>
      </c>
      <c r="E840" s="17" t="s">
        <v>366</v>
      </c>
      <c r="H840">
        <f t="shared" si="45"/>
        <v>0</v>
      </c>
      <c r="I840">
        <v>101</v>
      </c>
      <c r="J840">
        <f t="shared" si="46"/>
        <v>0</v>
      </c>
    </row>
    <row r="841" spans="1:10" x14ac:dyDescent="0.2">
      <c r="A841">
        <v>8</v>
      </c>
      <c r="B841" s="15" t="s">
        <v>420</v>
      </c>
      <c r="C841" t="s">
        <v>399</v>
      </c>
      <c r="D841" t="s">
        <v>380</v>
      </c>
      <c r="E841" s="17" t="s">
        <v>367</v>
      </c>
      <c r="H841">
        <f t="shared" si="45"/>
        <v>0</v>
      </c>
      <c r="I841">
        <v>101</v>
      </c>
      <c r="J841">
        <f t="shared" si="46"/>
        <v>0</v>
      </c>
    </row>
    <row r="842" spans="1:10" x14ac:dyDescent="0.2">
      <c r="A842">
        <v>8</v>
      </c>
      <c r="B842" s="15" t="s">
        <v>420</v>
      </c>
      <c r="C842" t="s">
        <v>399</v>
      </c>
      <c r="D842" t="s">
        <v>380</v>
      </c>
      <c r="E842" s="17" t="s">
        <v>368</v>
      </c>
      <c r="H842">
        <f t="shared" si="45"/>
        <v>0</v>
      </c>
      <c r="I842">
        <v>101</v>
      </c>
      <c r="J842">
        <f t="shared" si="46"/>
        <v>0</v>
      </c>
    </row>
    <row r="843" spans="1:10" x14ac:dyDescent="0.2">
      <c r="A843">
        <v>8</v>
      </c>
      <c r="B843" s="15" t="s">
        <v>420</v>
      </c>
      <c r="C843" t="s">
        <v>399</v>
      </c>
      <c r="D843" t="s">
        <v>380</v>
      </c>
      <c r="E843" s="17" t="s">
        <v>369</v>
      </c>
      <c r="H843">
        <f t="shared" si="45"/>
        <v>0</v>
      </c>
      <c r="I843">
        <v>101</v>
      </c>
      <c r="J843">
        <f t="shared" si="46"/>
        <v>0</v>
      </c>
    </row>
    <row r="844" spans="1:10" x14ac:dyDescent="0.2">
      <c r="A844">
        <v>8</v>
      </c>
      <c r="B844" s="15" t="s">
        <v>420</v>
      </c>
      <c r="C844" t="s">
        <v>399</v>
      </c>
      <c r="D844" t="s">
        <v>380</v>
      </c>
      <c r="E844" s="17" t="s">
        <v>370</v>
      </c>
      <c r="H844">
        <f t="shared" si="45"/>
        <v>0</v>
      </c>
      <c r="I844">
        <v>101</v>
      </c>
      <c r="J844">
        <f t="shared" si="46"/>
        <v>0</v>
      </c>
    </row>
    <row r="845" spans="1:10" x14ac:dyDescent="0.2">
      <c r="A845">
        <v>8</v>
      </c>
      <c r="B845" s="15" t="s">
        <v>420</v>
      </c>
      <c r="C845" t="s">
        <v>399</v>
      </c>
      <c r="D845" t="s">
        <v>380</v>
      </c>
      <c r="E845" s="17" t="s">
        <v>371</v>
      </c>
      <c r="H845">
        <f t="shared" si="45"/>
        <v>0</v>
      </c>
      <c r="I845">
        <v>101</v>
      </c>
      <c r="J845">
        <f t="shared" si="46"/>
        <v>0</v>
      </c>
    </row>
    <row r="846" spans="1:10" x14ac:dyDescent="0.2">
      <c r="A846">
        <v>8</v>
      </c>
      <c r="B846" s="15" t="s">
        <v>420</v>
      </c>
      <c r="C846" t="s">
        <v>399</v>
      </c>
      <c r="D846" t="s">
        <v>380</v>
      </c>
      <c r="E846" s="17" t="s">
        <v>372</v>
      </c>
      <c r="H846">
        <f t="shared" si="45"/>
        <v>0</v>
      </c>
      <c r="I846">
        <v>101</v>
      </c>
      <c r="J846">
        <f t="shared" si="46"/>
        <v>0</v>
      </c>
    </row>
    <row r="847" spans="1:10" x14ac:dyDescent="0.2">
      <c r="A847">
        <v>8</v>
      </c>
      <c r="B847" s="15" t="s">
        <v>420</v>
      </c>
      <c r="C847" t="s">
        <v>399</v>
      </c>
      <c r="D847" t="s">
        <v>380</v>
      </c>
      <c r="E847" s="17" t="s">
        <v>373</v>
      </c>
      <c r="H847">
        <f t="shared" si="45"/>
        <v>0</v>
      </c>
      <c r="I847">
        <v>101</v>
      </c>
      <c r="J847">
        <f t="shared" si="46"/>
        <v>0</v>
      </c>
    </row>
    <row r="848" spans="1:10" x14ac:dyDescent="0.2">
      <c r="A848">
        <v>8</v>
      </c>
      <c r="B848" s="15" t="s">
        <v>420</v>
      </c>
      <c r="C848" t="s">
        <v>399</v>
      </c>
      <c r="D848" t="s">
        <v>380</v>
      </c>
      <c r="E848" s="17" t="s">
        <v>374</v>
      </c>
      <c r="H848">
        <f t="shared" si="45"/>
        <v>0</v>
      </c>
      <c r="I848">
        <v>101</v>
      </c>
      <c r="J848">
        <f t="shared" si="46"/>
        <v>0</v>
      </c>
    </row>
    <row r="849" spans="1:10" x14ac:dyDescent="0.2">
      <c r="A849">
        <v>8</v>
      </c>
      <c r="B849" s="15" t="s">
        <v>420</v>
      </c>
      <c r="C849" t="s">
        <v>399</v>
      </c>
      <c r="D849" t="s">
        <v>380</v>
      </c>
      <c r="E849" s="17" t="s">
        <v>375</v>
      </c>
      <c r="H849">
        <f t="shared" si="45"/>
        <v>0</v>
      </c>
      <c r="I849">
        <v>101</v>
      </c>
      <c r="J849">
        <f t="shared" si="46"/>
        <v>0</v>
      </c>
    </row>
    <row r="850" spans="1:10" x14ac:dyDescent="0.2">
      <c r="A850">
        <v>8</v>
      </c>
      <c r="B850" s="15" t="s">
        <v>420</v>
      </c>
      <c r="C850" t="s">
        <v>399</v>
      </c>
      <c r="D850" t="s">
        <v>380</v>
      </c>
      <c r="E850" s="17" t="s">
        <v>376</v>
      </c>
      <c r="H850">
        <f t="shared" si="45"/>
        <v>0</v>
      </c>
      <c r="I850">
        <v>101</v>
      </c>
      <c r="J850">
        <f t="shared" si="46"/>
        <v>0</v>
      </c>
    </row>
    <row r="851" spans="1:10" x14ac:dyDescent="0.2">
      <c r="A851">
        <v>8</v>
      </c>
      <c r="B851" s="15" t="s">
        <v>420</v>
      </c>
      <c r="C851" t="s">
        <v>399</v>
      </c>
      <c r="D851" t="s">
        <v>380</v>
      </c>
      <c r="E851" s="17" t="s">
        <v>377</v>
      </c>
      <c r="H851">
        <f t="shared" si="45"/>
        <v>0</v>
      </c>
      <c r="I851">
        <v>101</v>
      </c>
      <c r="J851">
        <f t="shared" si="46"/>
        <v>0</v>
      </c>
    </row>
    <row r="852" spans="1:10" x14ac:dyDescent="0.2">
      <c r="A852">
        <v>8</v>
      </c>
      <c r="B852" s="15" t="s">
        <v>420</v>
      </c>
      <c r="C852" t="s">
        <v>399</v>
      </c>
      <c r="D852" t="s">
        <v>380</v>
      </c>
      <c r="E852" s="17" t="s">
        <v>378</v>
      </c>
      <c r="H852">
        <f t="shared" si="45"/>
        <v>0</v>
      </c>
      <c r="I852">
        <v>101</v>
      </c>
      <c r="J852">
        <f t="shared" si="46"/>
        <v>0</v>
      </c>
    </row>
    <row r="853" spans="1:10" x14ac:dyDescent="0.2">
      <c r="A853">
        <v>8</v>
      </c>
      <c r="B853" s="15" t="s">
        <v>420</v>
      </c>
      <c r="C853" t="s">
        <v>399</v>
      </c>
      <c r="D853" t="s">
        <v>380</v>
      </c>
      <c r="E853" s="17" t="s">
        <v>384</v>
      </c>
      <c r="H853">
        <f t="shared" si="45"/>
        <v>0</v>
      </c>
      <c r="I853">
        <v>101</v>
      </c>
      <c r="J853">
        <f t="shared" si="46"/>
        <v>0</v>
      </c>
    </row>
    <row r="854" spans="1:10" x14ac:dyDescent="0.2">
      <c r="A854">
        <v>8</v>
      </c>
      <c r="B854" s="15" t="s">
        <v>420</v>
      </c>
      <c r="C854" t="s">
        <v>399</v>
      </c>
      <c r="D854" t="s">
        <v>380</v>
      </c>
      <c r="E854" s="17" t="s">
        <v>385</v>
      </c>
      <c r="H854">
        <f t="shared" si="45"/>
        <v>0</v>
      </c>
      <c r="I854">
        <v>101</v>
      </c>
      <c r="J854">
        <f t="shared" si="46"/>
        <v>0</v>
      </c>
    </row>
    <row r="855" spans="1:10" x14ac:dyDescent="0.2">
      <c r="A855">
        <v>8</v>
      </c>
      <c r="B855" s="15" t="s">
        <v>420</v>
      </c>
      <c r="C855" t="s">
        <v>399</v>
      </c>
      <c r="D855" t="s">
        <v>380</v>
      </c>
      <c r="E855" s="17" t="s">
        <v>386</v>
      </c>
      <c r="H855">
        <f t="shared" si="45"/>
        <v>0</v>
      </c>
      <c r="I855">
        <v>101</v>
      </c>
      <c r="J855">
        <f t="shared" si="46"/>
        <v>0</v>
      </c>
    </row>
    <row r="856" spans="1:10" x14ac:dyDescent="0.2">
      <c r="A856">
        <v>8</v>
      </c>
      <c r="B856" s="15" t="s">
        <v>420</v>
      </c>
      <c r="C856" t="s">
        <v>399</v>
      </c>
      <c r="D856" t="s">
        <v>380</v>
      </c>
      <c r="E856" s="17" t="s">
        <v>387</v>
      </c>
      <c r="H856">
        <f t="shared" si="45"/>
        <v>0</v>
      </c>
      <c r="I856">
        <v>101</v>
      </c>
      <c r="J856">
        <f t="shared" si="46"/>
        <v>0</v>
      </c>
    </row>
    <row r="857" spans="1:10" x14ac:dyDescent="0.2">
      <c r="A857">
        <v>8</v>
      </c>
      <c r="B857" s="15" t="s">
        <v>420</v>
      </c>
      <c r="C857" t="s">
        <v>399</v>
      </c>
      <c r="D857" t="s">
        <v>380</v>
      </c>
      <c r="E857" s="17" t="s">
        <v>388</v>
      </c>
      <c r="H857">
        <f t="shared" si="45"/>
        <v>0</v>
      </c>
      <c r="I857">
        <v>101</v>
      </c>
      <c r="J857">
        <f t="shared" si="46"/>
        <v>0</v>
      </c>
    </row>
    <row r="858" spans="1:10" x14ac:dyDescent="0.2">
      <c r="A858">
        <v>8</v>
      </c>
      <c r="B858" s="15" t="s">
        <v>420</v>
      </c>
      <c r="C858" t="s">
        <v>399</v>
      </c>
      <c r="D858" t="s">
        <v>380</v>
      </c>
      <c r="E858" s="17" t="s">
        <v>389</v>
      </c>
      <c r="H858">
        <f t="shared" si="45"/>
        <v>0</v>
      </c>
      <c r="I858">
        <v>101</v>
      </c>
      <c r="J858">
        <f t="shared" si="46"/>
        <v>0</v>
      </c>
    </row>
    <row r="859" spans="1:10" x14ac:dyDescent="0.2">
      <c r="A859">
        <v>8</v>
      </c>
      <c r="B859" s="15" t="s">
        <v>420</v>
      </c>
      <c r="C859" t="s">
        <v>399</v>
      </c>
      <c r="D859" t="s">
        <v>380</v>
      </c>
      <c r="E859" s="17" t="s">
        <v>390</v>
      </c>
      <c r="H859">
        <f t="shared" si="45"/>
        <v>0</v>
      </c>
      <c r="I859">
        <v>101</v>
      </c>
      <c r="J859">
        <f t="shared" si="46"/>
        <v>0</v>
      </c>
    </row>
    <row r="860" spans="1:10" x14ac:dyDescent="0.2">
      <c r="A860">
        <v>8</v>
      </c>
      <c r="B860" s="15" t="s">
        <v>420</v>
      </c>
      <c r="C860" t="s">
        <v>399</v>
      </c>
      <c r="D860" t="s">
        <v>380</v>
      </c>
      <c r="E860" s="17" t="s">
        <v>391</v>
      </c>
      <c r="H860">
        <f t="shared" si="45"/>
        <v>0</v>
      </c>
      <c r="I860">
        <v>101</v>
      </c>
      <c r="J860">
        <f t="shared" si="46"/>
        <v>0</v>
      </c>
    </row>
    <row r="861" spans="1:10" x14ac:dyDescent="0.2">
      <c r="A861">
        <v>8</v>
      </c>
      <c r="B861" s="15" t="s">
        <v>420</v>
      </c>
      <c r="C861" t="s">
        <v>399</v>
      </c>
      <c r="D861" t="s">
        <v>380</v>
      </c>
      <c r="E861" s="17" t="s">
        <v>392</v>
      </c>
      <c r="H861">
        <f t="shared" si="45"/>
        <v>0</v>
      </c>
      <c r="I861">
        <v>101</v>
      </c>
      <c r="J861">
        <f t="shared" si="46"/>
        <v>0</v>
      </c>
    </row>
    <row r="862" spans="1:10" x14ac:dyDescent="0.2">
      <c r="A862">
        <v>8</v>
      </c>
      <c r="B862" s="15" t="s">
        <v>420</v>
      </c>
      <c r="C862" t="s">
        <v>399</v>
      </c>
      <c r="D862" t="s">
        <v>380</v>
      </c>
      <c r="E862" s="17" t="s">
        <v>393</v>
      </c>
      <c r="H862">
        <f t="shared" si="45"/>
        <v>0</v>
      </c>
      <c r="I862">
        <v>101</v>
      </c>
      <c r="J862">
        <f t="shared" si="46"/>
        <v>0</v>
      </c>
    </row>
    <row r="863" spans="1:10" x14ac:dyDescent="0.2">
      <c r="A863">
        <v>8</v>
      </c>
      <c r="B863" s="15" t="s">
        <v>420</v>
      </c>
      <c r="C863" t="s">
        <v>399</v>
      </c>
      <c r="D863" t="s">
        <v>380</v>
      </c>
      <c r="E863" s="17" t="s">
        <v>394</v>
      </c>
      <c r="H863">
        <f t="shared" si="45"/>
        <v>0</v>
      </c>
      <c r="I863">
        <v>101</v>
      </c>
      <c r="J863">
        <f t="shared" si="46"/>
        <v>0</v>
      </c>
    </row>
    <row r="864" spans="1:10" x14ac:dyDescent="0.2">
      <c r="A864">
        <v>8</v>
      </c>
      <c r="B864" s="15" t="s">
        <v>420</v>
      </c>
      <c r="C864" t="s">
        <v>399</v>
      </c>
      <c r="D864" t="s">
        <v>380</v>
      </c>
      <c r="E864" s="17" t="s">
        <v>395</v>
      </c>
      <c r="H864">
        <f t="shared" si="45"/>
        <v>0</v>
      </c>
      <c r="I864">
        <v>101</v>
      </c>
      <c r="J864">
        <f t="shared" si="46"/>
        <v>0</v>
      </c>
    </row>
    <row r="865" spans="1:10" x14ac:dyDescent="0.2">
      <c r="A865">
        <v>8</v>
      </c>
      <c r="B865" s="15" t="s">
        <v>420</v>
      </c>
      <c r="C865" t="s">
        <v>399</v>
      </c>
      <c r="D865" t="s">
        <v>380</v>
      </c>
      <c r="E865" s="17" t="s">
        <v>396</v>
      </c>
      <c r="H865">
        <f t="shared" si="45"/>
        <v>0</v>
      </c>
      <c r="I865">
        <v>101</v>
      </c>
      <c r="J865">
        <f t="shared" si="46"/>
        <v>0</v>
      </c>
    </row>
    <row r="866" spans="1:10" x14ac:dyDescent="0.2">
      <c r="A866">
        <v>8</v>
      </c>
      <c r="B866" s="15" t="s">
        <v>420</v>
      </c>
      <c r="C866" t="s">
        <v>399</v>
      </c>
      <c r="D866" t="s">
        <v>401</v>
      </c>
      <c r="E866" s="17" t="s">
        <v>362</v>
      </c>
      <c r="H866">
        <f t="shared" si="45"/>
        <v>0</v>
      </c>
      <c r="I866">
        <v>41</v>
      </c>
    </row>
    <row r="867" spans="1:10" x14ac:dyDescent="0.2">
      <c r="A867">
        <v>8</v>
      </c>
      <c r="B867" s="15" t="s">
        <v>420</v>
      </c>
      <c r="C867" t="s">
        <v>399</v>
      </c>
      <c r="D867" t="s">
        <v>401</v>
      </c>
      <c r="E867" s="17" t="s">
        <v>363</v>
      </c>
      <c r="H867">
        <f t="shared" si="45"/>
        <v>0</v>
      </c>
      <c r="I867">
        <v>41</v>
      </c>
      <c r="J867">
        <f t="shared" ref="J867:J895" si="47">F867-F866</f>
        <v>0</v>
      </c>
    </row>
    <row r="868" spans="1:10" x14ac:dyDescent="0.2">
      <c r="A868">
        <v>8</v>
      </c>
      <c r="B868" s="15" t="s">
        <v>420</v>
      </c>
      <c r="C868" t="s">
        <v>399</v>
      </c>
      <c r="D868" t="s">
        <v>401</v>
      </c>
      <c r="E868" s="17" t="s">
        <v>364</v>
      </c>
      <c r="H868">
        <f t="shared" si="45"/>
        <v>0</v>
      </c>
      <c r="I868">
        <v>41</v>
      </c>
      <c r="J868">
        <f t="shared" si="47"/>
        <v>0</v>
      </c>
    </row>
    <row r="869" spans="1:10" x14ac:dyDescent="0.2">
      <c r="A869">
        <v>8</v>
      </c>
      <c r="B869" s="15" t="s">
        <v>420</v>
      </c>
      <c r="C869" t="s">
        <v>399</v>
      </c>
      <c r="D869" t="s">
        <v>401</v>
      </c>
      <c r="E869" s="17" t="s">
        <v>365</v>
      </c>
      <c r="H869">
        <f t="shared" si="45"/>
        <v>0</v>
      </c>
      <c r="I869">
        <v>41</v>
      </c>
      <c r="J869">
        <f t="shared" si="47"/>
        <v>0</v>
      </c>
    </row>
    <row r="870" spans="1:10" x14ac:dyDescent="0.2">
      <c r="A870">
        <v>8</v>
      </c>
      <c r="B870" s="15" t="s">
        <v>420</v>
      </c>
      <c r="C870" t="s">
        <v>399</v>
      </c>
      <c r="D870" t="s">
        <v>401</v>
      </c>
      <c r="E870" s="17" t="s">
        <v>366</v>
      </c>
      <c r="H870">
        <f t="shared" si="45"/>
        <v>0</v>
      </c>
      <c r="I870">
        <v>41</v>
      </c>
      <c r="J870">
        <f t="shared" si="47"/>
        <v>0</v>
      </c>
    </row>
    <row r="871" spans="1:10" x14ac:dyDescent="0.2">
      <c r="A871">
        <v>8</v>
      </c>
      <c r="B871" s="15" t="s">
        <v>420</v>
      </c>
      <c r="C871" t="s">
        <v>399</v>
      </c>
      <c r="D871" t="s">
        <v>401</v>
      </c>
      <c r="E871" s="17" t="s">
        <v>367</v>
      </c>
      <c r="H871">
        <f t="shared" si="45"/>
        <v>0</v>
      </c>
      <c r="I871">
        <v>41</v>
      </c>
      <c r="J871">
        <f t="shared" si="47"/>
        <v>0</v>
      </c>
    </row>
    <row r="872" spans="1:10" x14ac:dyDescent="0.2">
      <c r="A872">
        <v>8</v>
      </c>
      <c r="B872" s="15" t="s">
        <v>420</v>
      </c>
      <c r="C872" t="s">
        <v>399</v>
      </c>
      <c r="D872" t="s">
        <v>401</v>
      </c>
      <c r="E872" s="17" t="s">
        <v>368</v>
      </c>
      <c r="H872">
        <f t="shared" si="45"/>
        <v>0</v>
      </c>
      <c r="I872">
        <v>41</v>
      </c>
      <c r="J872">
        <f t="shared" si="47"/>
        <v>0</v>
      </c>
    </row>
    <row r="873" spans="1:10" x14ac:dyDescent="0.2">
      <c r="A873">
        <v>8</v>
      </c>
      <c r="B873" s="15" t="s">
        <v>420</v>
      </c>
      <c r="C873" t="s">
        <v>399</v>
      </c>
      <c r="D873" t="s">
        <v>401</v>
      </c>
      <c r="E873" s="17" t="s">
        <v>369</v>
      </c>
      <c r="H873">
        <f t="shared" ref="H873:H925" si="48">F873-G873</f>
        <v>0</v>
      </c>
      <c r="I873">
        <v>41</v>
      </c>
      <c r="J873">
        <f t="shared" si="47"/>
        <v>0</v>
      </c>
    </row>
    <row r="874" spans="1:10" x14ac:dyDescent="0.2">
      <c r="A874">
        <v>8</v>
      </c>
      <c r="B874" s="15" t="s">
        <v>420</v>
      </c>
      <c r="C874" t="s">
        <v>399</v>
      </c>
      <c r="D874" t="s">
        <v>401</v>
      </c>
      <c r="E874" s="17" t="s">
        <v>370</v>
      </c>
      <c r="H874">
        <f t="shared" si="48"/>
        <v>0</v>
      </c>
      <c r="I874">
        <v>41</v>
      </c>
      <c r="J874">
        <f t="shared" si="47"/>
        <v>0</v>
      </c>
    </row>
    <row r="875" spans="1:10" x14ac:dyDescent="0.2">
      <c r="A875">
        <v>8</v>
      </c>
      <c r="B875" s="15" t="s">
        <v>420</v>
      </c>
      <c r="C875" t="s">
        <v>399</v>
      </c>
      <c r="D875" t="s">
        <v>401</v>
      </c>
      <c r="E875" s="17" t="s">
        <v>371</v>
      </c>
      <c r="H875">
        <f t="shared" si="48"/>
        <v>0</v>
      </c>
      <c r="I875">
        <v>41</v>
      </c>
      <c r="J875">
        <f t="shared" si="47"/>
        <v>0</v>
      </c>
    </row>
    <row r="876" spans="1:10" x14ac:dyDescent="0.2">
      <c r="A876">
        <v>8</v>
      </c>
      <c r="B876" s="15" t="s">
        <v>420</v>
      </c>
      <c r="C876" t="s">
        <v>399</v>
      </c>
      <c r="D876" t="s">
        <v>401</v>
      </c>
      <c r="E876" s="17" t="s">
        <v>372</v>
      </c>
      <c r="H876">
        <f t="shared" si="48"/>
        <v>0</v>
      </c>
      <c r="I876">
        <v>41</v>
      </c>
      <c r="J876">
        <f t="shared" si="47"/>
        <v>0</v>
      </c>
    </row>
    <row r="877" spans="1:10" x14ac:dyDescent="0.2">
      <c r="A877">
        <v>8</v>
      </c>
      <c r="B877" s="15" t="s">
        <v>420</v>
      </c>
      <c r="C877" t="s">
        <v>399</v>
      </c>
      <c r="D877" t="s">
        <v>401</v>
      </c>
      <c r="E877" s="17" t="s">
        <v>373</v>
      </c>
      <c r="H877">
        <f t="shared" si="48"/>
        <v>0</v>
      </c>
      <c r="I877">
        <v>41</v>
      </c>
      <c r="J877">
        <f t="shared" si="47"/>
        <v>0</v>
      </c>
    </row>
    <row r="878" spans="1:10" x14ac:dyDescent="0.2">
      <c r="A878">
        <v>8</v>
      </c>
      <c r="B878" s="15" t="s">
        <v>420</v>
      </c>
      <c r="C878" t="s">
        <v>399</v>
      </c>
      <c r="D878" t="s">
        <v>401</v>
      </c>
      <c r="E878" s="17" t="s">
        <v>374</v>
      </c>
      <c r="H878">
        <f t="shared" si="48"/>
        <v>0</v>
      </c>
      <c r="I878">
        <v>41</v>
      </c>
      <c r="J878">
        <f t="shared" si="47"/>
        <v>0</v>
      </c>
    </row>
    <row r="879" spans="1:10" x14ac:dyDescent="0.2">
      <c r="A879">
        <v>8</v>
      </c>
      <c r="B879" s="15" t="s">
        <v>420</v>
      </c>
      <c r="C879" t="s">
        <v>399</v>
      </c>
      <c r="D879" t="s">
        <v>401</v>
      </c>
      <c r="E879" s="17" t="s">
        <v>375</v>
      </c>
      <c r="H879">
        <f t="shared" si="48"/>
        <v>0</v>
      </c>
      <c r="I879">
        <v>41</v>
      </c>
      <c r="J879">
        <f t="shared" si="47"/>
        <v>0</v>
      </c>
    </row>
    <row r="880" spans="1:10" x14ac:dyDescent="0.2">
      <c r="A880">
        <v>8</v>
      </c>
      <c r="B880" s="15" t="s">
        <v>420</v>
      </c>
      <c r="C880" t="s">
        <v>399</v>
      </c>
      <c r="D880" t="s">
        <v>401</v>
      </c>
      <c r="E880" s="17" t="s">
        <v>376</v>
      </c>
      <c r="H880">
        <f t="shared" si="48"/>
        <v>0</v>
      </c>
      <c r="I880">
        <v>41</v>
      </c>
      <c r="J880">
        <f t="shared" si="47"/>
        <v>0</v>
      </c>
    </row>
    <row r="881" spans="1:10" x14ac:dyDescent="0.2">
      <c r="A881">
        <v>8</v>
      </c>
      <c r="B881" s="15" t="s">
        <v>420</v>
      </c>
      <c r="C881" t="s">
        <v>399</v>
      </c>
      <c r="D881" t="s">
        <v>401</v>
      </c>
      <c r="E881" s="17" t="s">
        <v>377</v>
      </c>
      <c r="H881">
        <f t="shared" si="48"/>
        <v>0</v>
      </c>
      <c r="I881">
        <v>41</v>
      </c>
      <c r="J881">
        <f t="shared" si="47"/>
        <v>0</v>
      </c>
    </row>
    <row r="882" spans="1:10" x14ac:dyDescent="0.2">
      <c r="A882">
        <v>8</v>
      </c>
      <c r="B882" s="15" t="s">
        <v>420</v>
      </c>
      <c r="C882" t="s">
        <v>399</v>
      </c>
      <c r="D882" t="s">
        <v>401</v>
      </c>
      <c r="E882" s="17" t="s">
        <v>378</v>
      </c>
      <c r="H882">
        <f t="shared" si="48"/>
        <v>0</v>
      </c>
      <c r="I882">
        <v>41</v>
      </c>
      <c r="J882">
        <f t="shared" si="47"/>
        <v>0</v>
      </c>
    </row>
    <row r="883" spans="1:10" x14ac:dyDescent="0.2">
      <c r="A883">
        <v>8</v>
      </c>
      <c r="B883" s="15" t="s">
        <v>420</v>
      </c>
      <c r="C883" t="s">
        <v>399</v>
      </c>
      <c r="D883" t="s">
        <v>401</v>
      </c>
      <c r="E883" s="17" t="s">
        <v>384</v>
      </c>
      <c r="H883">
        <f t="shared" si="48"/>
        <v>0</v>
      </c>
      <c r="I883">
        <v>41</v>
      </c>
      <c r="J883">
        <f t="shared" si="47"/>
        <v>0</v>
      </c>
    </row>
    <row r="884" spans="1:10" x14ac:dyDescent="0.2">
      <c r="A884">
        <v>8</v>
      </c>
      <c r="B884" s="15" t="s">
        <v>420</v>
      </c>
      <c r="C884" t="s">
        <v>399</v>
      </c>
      <c r="D884" t="s">
        <v>401</v>
      </c>
      <c r="E884" s="17" t="s">
        <v>385</v>
      </c>
      <c r="H884">
        <f t="shared" si="48"/>
        <v>0</v>
      </c>
      <c r="I884">
        <v>41</v>
      </c>
      <c r="J884">
        <f t="shared" si="47"/>
        <v>0</v>
      </c>
    </row>
    <row r="885" spans="1:10" x14ac:dyDescent="0.2">
      <c r="A885">
        <v>8</v>
      </c>
      <c r="B885" s="15" t="s">
        <v>420</v>
      </c>
      <c r="C885" t="s">
        <v>399</v>
      </c>
      <c r="D885" t="s">
        <v>401</v>
      </c>
      <c r="E885" s="17" t="s">
        <v>386</v>
      </c>
      <c r="H885">
        <f t="shared" si="48"/>
        <v>0</v>
      </c>
      <c r="I885">
        <v>41</v>
      </c>
      <c r="J885">
        <f t="shared" si="47"/>
        <v>0</v>
      </c>
    </row>
    <row r="886" spans="1:10" x14ac:dyDescent="0.2">
      <c r="A886">
        <v>8</v>
      </c>
      <c r="B886" s="15" t="s">
        <v>420</v>
      </c>
      <c r="C886" t="s">
        <v>399</v>
      </c>
      <c r="D886" t="s">
        <v>401</v>
      </c>
      <c r="E886" s="17" t="s">
        <v>387</v>
      </c>
      <c r="H886">
        <f t="shared" si="48"/>
        <v>0</v>
      </c>
      <c r="I886">
        <v>41</v>
      </c>
      <c r="J886">
        <f t="shared" si="47"/>
        <v>0</v>
      </c>
    </row>
    <row r="887" spans="1:10" x14ac:dyDescent="0.2">
      <c r="A887">
        <v>8</v>
      </c>
      <c r="B887" s="15" t="s">
        <v>420</v>
      </c>
      <c r="C887" t="s">
        <v>399</v>
      </c>
      <c r="D887" t="s">
        <v>401</v>
      </c>
      <c r="E887" s="17" t="s">
        <v>388</v>
      </c>
      <c r="H887">
        <f t="shared" si="48"/>
        <v>0</v>
      </c>
      <c r="I887">
        <v>41</v>
      </c>
      <c r="J887">
        <f t="shared" si="47"/>
        <v>0</v>
      </c>
    </row>
    <row r="888" spans="1:10" x14ac:dyDescent="0.2">
      <c r="A888">
        <v>8</v>
      </c>
      <c r="B888" s="15" t="s">
        <v>420</v>
      </c>
      <c r="C888" t="s">
        <v>399</v>
      </c>
      <c r="D888" t="s">
        <v>401</v>
      </c>
      <c r="E888" s="17" t="s">
        <v>389</v>
      </c>
      <c r="H888">
        <f t="shared" si="48"/>
        <v>0</v>
      </c>
      <c r="I888">
        <v>41</v>
      </c>
      <c r="J888">
        <f t="shared" si="47"/>
        <v>0</v>
      </c>
    </row>
    <row r="889" spans="1:10" x14ac:dyDescent="0.2">
      <c r="A889">
        <v>8</v>
      </c>
      <c r="B889" s="15" t="s">
        <v>420</v>
      </c>
      <c r="C889" t="s">
        <v>399</v>
      </c>
      <c r="D889" t="s">
        <v>401</v>
      </c>
      <c r="E889" s="17" t="s">
        <v>390</v>
      </c>
      <c r="H889">
        <f t="shared" si="48"/>
        <v>0</v>
      </c>
      <c r="I889">
        <v>41</v>
      </c>
      <c r="J889">
        <f t="shared" si="47"/>
        <v>0</v>
      </c>
    </row>
    <row r="890" spans="1:10" x14ac:dyDescent="0.2">
      <c r="A890">
        <v>8</v>
      </c>
      <c r="B890" s="15" t="s">
        <v>420</v>
      </c>
      <c r="C890" t="s">
        <v>399</v>
      </c>
      <c r="D890" t="s">
        <v>401</v>
      </c>
      <c r="E890" s="17" t="s">
        <v>391</v>
      </c>
      <c r="H890">
        <f t="shared" si="48"/>
        <v>0</v>
      </c>
      <c r="I890">
        <v>41</v>
      </c>
      <c r="J890">
        <f t="shared" si="47"/>
        <v>0</v>
      </c>
    </row>
    <row r="891" spans="1:10" x14ac:dyDescent="0.2">
      <c r="A891">
        <v>8</v>
      </c>
      <c r="B891" s="15" t="s">
        <v>420</v>
      </c>
      <c r="C891" t="s">
        <v>399</v>
      </c>
      <c r="D891" t="s">
        <v>401</v>
      </c>
      <c r="E891" s="17" t="s">
        <v>392</v>
      </c>
      <c r="H891">
        <f t="shared" si="48"/>
        <v>0</v>
      </c>
      <c r="I891">
        <v>41</v>
      </c>
      <c r="J891">
        <f t="shared" si="47"/>
        <v>0</v>
      </c>
    </row>
    <row r="892" spans="1:10" x14ac:dyDescent="0.2">
      <c r="A892">
        <v>8</v>
      </c>
      <c r="B892" s="15" t="s">
        <v>420</v>
      </c>
      <c r="C892" t="s">
        <v>399</v>
      </c>
      <c r="D892" t="s">
        <v>401</v>
      </c>
      <c r="E892" s="17" t="s">
        <v>393</v>
      </c>
      <c r="H892">
        <f t="shared" si="48"/>
        <v>0</v>
      </c>
      <c r="I892">
        <v>41</v>
      </c>
      <c r="J892">
        <f t="shared" si="47"/>
        <v>0</v>
      </c>
    </row>
    <row r="893" spans="1:10" x14ac:dyDescent="0.2">
      <c r="A893">
        <v>8</v>
      </c>
      <c r="B893" s="15" t="s">
        <v>420</v>
      </c>
      <c r="C893" t="s">
        <v>399</v>
      </c>
      <c r="D893" t="s">
        <v>401</v>
      </c>
      <c r="E893" s="17" t="s">
        <v>394</v>
      </c>
      <c r="H893">
        <f t="shared" si="48"/>
        <v>0</v>
      </c>
      <c r="I893">
        <v>41</v>
      </c>
      <c r="J893">
        <f t="shared" si="47"/>
        <v>0</v>
      </c>
    </row>
    <row r="894" spans="1:10" x14ac:dyDescent="0.2">
      <c r="A894">
        <v>8</v>
      </c>
      <c r="B894" s="15" t="s">
        <v>420</v>
      </c>
      <c r="C894" t="s">
        <v>399</v>
      </c>
      <c r="D894" t="s">
        <v>401</v>
      </c>
      <c r="E894" s="17" t="s">
        <v>395</v>
      </c>
      <c r="H894">
        <f t="shared" si="48"/>
        <v>0</v>
      </c>
      <c r="I894">
        <v>41</v>
      </c>
      <c r="J894">
        <f t="shared" si="47"/>
        <v>0</v>
      </c>
    </row>
    <row r="895" spans="1:10" x14ac:dyDescent="0.2">
      <c r="A895">
        <v>8</v>
      </c>
      <c r="B895" s="15" t="s">
        <v>420</v>
      </c>
      <c r="C895" t="s">
        <v>399</v>
      </c>
      <c r="D895" t="s">
        <v>401</v>
      </c>
      <c r="E895" s="17" t="s">
        <v>396</v>
      </c>
      <c r="H895">
        <f t="shared" si="48"/>
        <v>0</v>
      </c>
      <c r="I895">
        <v>41</v>
      </c>
      <c r="J895">
        <f t="shared" si="47"/>
        <v>0</v>
      </c>
    </row>
    <row r="896" spans="1:10" x14ac:dyDescent="0.2">
      <c r="A896">
        <v>8</v>
      </c>
      <c r="B896" s="15" t="s">
        <v>420</v>
      </c>
      <c r="C896" t="s">
        <v>399</v>
      </c>
      <c r="D896" t="s">
        <v>380</v>
      </c>
      <c r="E896" s="17" t="s">
        <v>362</v>
      </c>
      <c r="H896">
        <f t="shared" si="48"/>
        <v>0</v>
      </c>
      <c r="I896">
        <v>41</v>
      </c>
    </row>
    <row r="897" spans="1:10" x14ac:dyDescent="0.2">
      <c r="A897">
        <v>8</v>
      </c>
      <c r="B897" s="15" t="s">
        <v>420</v>
      </c>
      <c r="C897" t="s">
        <v>399</v>
      </c>
      <c r="D897" t="s">
        <v>380</v>
      </c>
      <c r="E897" s="17" t="s">
        <v>363</v>
      </c>
      <c r="H897">
        <f t="shared" si="48"/>
        <v>0</v>
      </c>
      <c r="I897">
        <v>41</v>
      </c>
      <c r="J897">
        <f t="shared" ref="J897:J925" si="49">F897-F896</f>
        <v>0</v>
      </c>
    </row>
    <row r="898" spans="1:10" x14ac:dyDescent="0.2">
      <c r="A898">
        <v>8</v>
      </c>
      <c r="B898" s="15" t="s">
        <v>420</v>
      </c>
      <c r="C898" t="s">
        <v>399</v>
      </c>
      <c r="D898" t="s">
        <v>380</v>
      </c>
      <c r="E898" s="17" t="s">
        <v>364</v>
      </c>
      <c r="H898">
        <f t="shared" si="48"/>
        <v>0</v>
      </c>
      <c r="I898">
        <v>41</v>
      </c>
      <c r="J898">
        <f t="shared" si="49"/>
        <v>0</v>
      </c>
    </row>
    <row r="899" spans="1:10" x14ac:dyDescent="0.2">
      <c r="A899">
        <v>8</v>
      </c>
      <c r="B899" s="15" t="s">
        <v>420</v>
      </c>
      <c r="C899" t="s">
        <v>399</v>
      </c>
      <c r="D899" t="s">
        <v>380</v>
      </c>
      <c r="E899" s="17" t="s">
        <v>365</v>
      </c>
      <c r="H899">
        <f t="shared" si="48"/>
        <v>0</v>
      </c>
      <c r="I899">
        <v>41</v>
      </c>
      <c r="J899">
        <f t="shared" si="49"/>
        <v>0</v>
      </c>
    </row>
    <row r="900" spans="1:10" x14ac:dyDescent="0.2">
      <c r="A900">
        <v>8</v>
      </c>
      <c r="B900" s="15" t="s">
        <v>420</v>
      </c>
      <c r="C900" t="s">
        <v>399</v>
      </c>
      <c r="D900" t="s">
        <v>380</v>
      </c>
      <c r="E900" s="17" t="s">
        <v>366</v>
      </c>
      <c r="H900">
        <f t="shared" si="48"/>
        <v>0</v>
      </c>
      <c r="I900">
        <v>41</v>
      </c>
      <c r="J900">
        <f t="shared" si="49"/>
        <v>0</v>
      </c>
    </row>
    <row r="901" spans="1:10" x14ac:dyDescent="0.2">
      <c r="A901">
        <v>8</v>
      </c>
      <c r="B901" s="15" t="s">
        <v>420</v>
      </c>
      <c r="C901" t="s">
        <v>399</v>
      </c>
      <c r="D901" t="s">
        <v>380</v>
      </c>
      <c r="E901" s="17" t="s">
        <v>367</v>
      </c>
      <c r="H901">
        <f t="shared" si="48"/>
        <v>0</v>
      </c>
      <c r="I901">
        <v>41</v>
      </c>
      <c r="J901">
        <f t="shared" si="49"/>
        <v>0</v>
      </c>
    </row>
    <row r="902" spans="1:10" x14ac:dyDescent="0.2">
      <c r="A902">
        <v>8</v>
      </c>
      <c r="B902" s="15" t="s">
        <v>420</v>
      </c>
      <c r="C902" t="s">
        <v>399</v>
      </c>
      <c r="D902" t="s">
        <v>380</v>
      </c>
      <c r="E902" s="17" t="s">
        <v>368</v>
      </c>
      <c r="H902">
        <f t="shared" si="48"/>
        <v>0</v>
      </c>
      <c r="I902">
        <v>41</v>
      </c>
      <c r="J902">
        <f t="shared" si="49"/>
        <v>0</v>
      </c>
    </row>
    <row r="903" spans="1:10" x14ac:dyDescent="0.2">
      <c r="A903">
        <v>8</v>
      </c>
      <c r="B903" s="15" t="s">
        <v>420</v>
      </c>
      <c r="C903" t="s">
        <v>399</v>
      </c>
      <c r="D903" t="s">
        <v>380</v>
      </c>
      <c r="E903" s="17" t="s">
        <v>369</v>
      </c>
      <c r="H903">
        <f t="shared" si="48"/>
        <v>0</v>
      </c>
      <c r="I903">
        <v>41</v>
      </c>
      <c r="J903">
        <f t="shared" si="49"/>
        <v>0</v>
      </c>
    </row>
    <row r="904" spans="1:10" x14ac:dyDescent="0.2">
      <c r="A904">
        <v>8</v>
      </c>
      <c r="B904" s="15" t="s">
        <v>420</v>
      </c>
      <c r="C904" t="s">
        <v>399</v>
      </c>
      <c r="D904" t="s">
        <v>380</v>
      </c>
      <c r="E904" s="17" t="s">
        <v>370</v>
      </c>
      <c r="H904">
        <f t="shared" si="48"/>
        <v>0</v>
      </c>
      <c r="I904">
        <v>41</v>
      </c>
      <c r="J904">
        <f t="shared" si="49"/>
        <v>0</v>
      </c>
    </row>
    <row r="905" spans="1:10" x14ac:dyDescent="0.2">
      <c r="A905">
        <v>8</v>
      </c>
      <c r="B905" s="15" t="s">
        <v>420</v>
      </c>
      <c r="C905" t="s">
        <v>399</v>
      </c>
      <c r="D905" t="s">
        <v>380</v>
      </c>
      <c r="E905" s="17" t="s">
        <v>371</v>
      </c>
      <c r="H905">
        <f t="shared" si="48"/>
        <v>0</v>
      </c>
      <c r="I905">
        <v>41</v>
      </c>
      <c r="J905">
        <f t="shared" si="49"/>
        <v>0</v>
      </c>
    </row>
    <row r="906" spans="1:10" x14ac:dyDescent="0.2">
      <c r="A906">
        <v>8</v>
      </c>
      <c r="B906" s="15" t="s">
        <v>420</v>
      </c>
      <c r="C906" t="s">
        <v>399</v>
      </c>
      <c r="D906" t="s">
        <v>380</v>
      </c>
      <c r="E906" s="17" t="s">
        <v>372</v>
      </c>
      <c r="H906">
        <f t="shared" si="48"/>
        <v>0</v>
      </c>
      <c r="I906">
        <v>41</v>
      </c>
      <c r="J906">
        <f t="shared" si="49"/>
        <v>0</v>
      </c>
    </row>
    <row r="907" spans="1:10" x14ac:dyDescent="0.2">
      <c r="A907">
        <v>8</v>
      </c>
      <c r="B907" s="15" t="s">
        <v>420</v>
      </c>
      <c r="C907" t="s">
        <v>399</v>
      </c>
      <c r="D907" t="s">
        <v>380</v>
      </c>
      <c r="E907" s="17" t="s">
        <v>373</v>
      </c>
      <c r="H907">
        <f t="shared" si="48"/>
        <v>0</v>
      </c>
      <c r="I907">
        <v>41</v>
      </c>
      <c r="J907">
        <f t="shared" si="49"/>
        <v>0</v>
      </c>
    </row>
    <row r="908" spans="1:10" x14ac:dyDescent="0.2">
      <c r="A908">
        <v>8</v>
      </c>
      <c r="B908" s="15" t="s">
        <v>420</v>
      </c>
      <c r="C908" t="s">
        <v>399</v>
      </c>
      <c r="D908" t="s">
        <v>380</v>
      </c>
      <c r="E908" s="17" t="s">
        <v>374</v>
      </c>
      <c r="H908">
        <f t="shared" si="48"/>
        <v>0</v>
      </c>
      <c r="I908">
        <v>41</v>
      </c>
      <c r="J908">
        <f t="shared" si="49"/>
        <v>0</v>
      </c>
    </row>
    <row r="909" spans="1:10" x14ac:dyDescent="0.2">
      <c r="A909">
        <v>8</v>
      </c>
      <c r="B909" s="15" t="s">
        <v>420</v>
      </c>
      <c r="C909" t="s">
        <v>399</v>
      </c>
      <c r="D909" t="s">
        <v>380</v>
      </c>
      <c r="E909" s="17" t="s">
        <v>375</v>
      </c>
      <c r="H909">
        <f t="shared" si="48"/>
        <v>0</v>
      </c>
      <c r="I909">
        <v>41</v>
      </c>
      <c r="J909">
        <f t="shared" si="49"/>
        <v>0</v>
      </c>
    </row>
    <row r="910" spans="1:10" x14ac:dyDescent="0.2">
      <c r="A910">
        <v>8</v>
      </c>
      <c r="B910" s="15" t="s">
        <v>420</v>
      </c>
      <c r="C910" t="s">
        <v>399</v>
      </c>
      <c r="D910" t="s">
        <v>380</v>
      </c>
      <c r="E910" s="17" t="s">
        <v>376</v>
      </c>
      <c r="H910">
        <f t="shared" si="48"/>
        <v>0</v>
      </c>
      <c r="I910">
        <v>41</v>
      </c>
      <c r="J910">
        <f t="shared" si="49"/>
        <v>0</v>
      </c>
    </row>
    <row r="911" spans="1:10" x14ac:dyDescent="0.2">
      <c r="A911">
        <v>8</v>
      </c>
      <c r="B911" s="15" t="s">
        <v>420</v>
      </c>
      <c r="C911" t="s">
        <v>399</v>
      </c>
      <c r="D911" t="s">
        <v>380</v>
      </c>
      <c r="E911" s="17" t="s">
        <v>377</v>
      </c>
      <c r="H911">
        <f t="shared" si="48"/>
        <v>0</v>
      </c>
      <c r="I911">
        <v>41</v>
      </c>
      <c r="J911">
        <f t="shared" si="49"/>
        <v>0</v>
      </c>
    </row>
    <row r="912" spans="1:10" x14ac:dyDescent="0.2">
      <c r="A912">
        <v>8</v>
      </c>
      <c r="B912" s="15" t="s">
        <v>420</v>
      </c>
      <c r="C912" t="s">
        <v>399</v>
      </c>
      <c r="D912" t="s">
        <v>380</v>
      </c>
      <c r="E912" s="17" t="s">
        <v>378</v>
      </c>
      <c r="H912">
        <f t="shared" si="48"/>
        <v>0</v>
      </c>
      <c r="I912">
        <v>41</v>
      </c>
      <c r="J912">
        <f t="shared" si="49"/>
        <v>0</v>
      </c>
    </row>
    <row r="913" spans="1:10" x14ac:dyDescent="0.2">
      <c r="A913">
        <v>8</v>
      </c>
      <c r="B913" s="15" t="s">
        <v>420</v>
      </c>
      <c r="C913" t="s">
        <v>399</v>
      </c>
      <c r="D913" t="s">
        <v>380</v>
      </c>
      <c r="E913" s="17" t="s">
        <v>384</v>
      </c>
      <c r="H913">
        <f t="shared" si="48"/>
        <v>0</v>
      </c>
      <c r="I913">
        <v>41</v>
      </c>
      <c r="J913">
        <f t="shared" si="49"/>
        <v>0</v>
      </c>
    </row>
    <row r="914" spans="1:10" x14ac:dyDescent="0.2">
      <c r="A914">
        <v>8</v>
      </c>
      <c r="B914" s="15" t="s">
        <v>420</v>
      </c>
      <c r="C914" t="s">
        <v>399</v>
      </c>
      <c r="D914" t="s">
        <v>380</v>
      </c>
      <c r="E914" s="17" t="s">
        <v>385</v>
      </c>
      <c r="H914">
        <f t="shared" si="48"/>
        <v>0</v>
      </c>
      <c r="I914">
        <v>41</v>
      </c>
      <c r="J914">
        <f t="shared" si="49"/>
        <v>0</v>
      </c>
    </row>
    <row r="915" spans="1:10" x14ac:dyDescent="0.2">
      <c r="A915">
        <v>8</v>
      </c>
      <c r="B915" s="15" t="s">
        <v>420</v>
      </c>
      <c r="C915" t="s">
        <v>399</v>
      </c>
      <c r="D915" t="s">
        <v>380</v>
      </c>
      <c r="E915" s="17" t="s">
        <v>386</v>
      </c>
      <c r="H915">
        <f t="shared" si="48"/>
        <v>0</v>
      </c>
      <c r="I915">
        <v>41</v>
      </c>
      <c r="J915">
        <f t="shared" si="49"/>
        <v>0</v>
      </c>
    </row>
    <row r="916" spans="1:10" x14ac:dyDescent="0.2">
      <c r="A916">
        <v>8</v>
      </c>
      <c r="B916" s="15" t="s">
        <v>420</v>
      </c>
      <c r="C916" t="s">
        <v>399</v>
      </c>
      <c r="D916" t="s">
        <v>380</v>
      </c>
      <c r="E916" s="17" t="s">
        <v>387</v>
      </c>
      <c r="H916">
        <f t="shared" si="48"/>
        <v>0</v>
      </c>
      <c r="I916">
        <v>41</v>
      </c>
      <c r="J916">
        <f t="shared" si="49"/>
        <v>0</v>
      </c>
    </row>
    <row r="917" spans="1:10" x14ac:dyDescent="0.2">
      <c r="A917">
        <v>8</v>
      </c>
      <c r="B917" s="15" t="s">
        <v>420</v>
      </c>
      <c r="C917" t="s">
        <v>399</v>
      </c>
      <c r="D917" t="s">
        <v>380</v>
      </c>
      <c r="E917" s="17" t="s">
        <v>388</v>
      </c>
      <c r="H917">
        <f t="shared" si="48"/>
        <v>0</v>
      </c>
      <c r="I917">
        <v>41</v>
      </c>
      <c r="J917">
        <f t="shared" si="49"/>
        <v>0</v>
      </c>
    </row>
    <row r="918" spans="1:10" x14ac:dyDescent="0.2">
      <c r="A918">
        <v>8</v>
      </c>
      <c r="B918" s="15" t="s">
        <v>420</v>
      </c>
      <c r="C918" t="s">
        <v>399</v>
      </c>
      <c r="D918" t="s">
        <v>380</v>
      </c>
      <c r="E918" s="17" t="s">
        <v>389</v>
      </c>
      <c r="H918">
        <f t="shared" si="48"/>
        <v>0</v>
      </c>
      <c r="I918">
        <v>41</v>
      </c>
      <c r="J918">
        <f t="shared" si="49"/>
        <v>0</v>
      </c>
    </row>
    <row r="919" spans="1:10" x14ac:dyDescent="0.2">
      <c r="A919">
        <v>8</v>
      </c>
      <c r="B919" s="15" t="s">
        <v>420</v>
      </c>
      <c r="C919" t="s">
        <v>399</v>
      </c>
      <c r="D919" t="s">
        <v>380</v>
      </c>
      <c r="E919" s="17" t="s">
        <v>390</v>
      </c>
      <c r="H919">
        <f t="shared" si="48"/>
        <v>0</v>
      </c>
      <c r="I919">
        <v>41</v>
      </c>
      <c r="J919">
        <f t="shared" si="49"/>
        <v>0</v>
      </c>
    </row>
    <row r="920" spans="1:10" x14ac:dyDescent="0.2">
      <c r="A920">
        <v>8</v>
      </c>
      <c r="B920" s="15" t="s">
        <v>420</v>
      </c>
      <c r="C920" t="s">
        <v>399</v>
      </c>
      <c r="D920" t="s">
        <v>380</v>
      </c>
      <c r="E920" s="17" t="s">
        <v>391</v>
      </c>
      <c r="H920">
        <f t="shared" si="48"/>
        <v>0</v>
      </c>
      <c r="I920">
        <v>41</v>
      </c>
      <c r="J920">
        <f t="shared" si="49"/>
        <v>0</v>
      </c>
    </row>
    <row r="921" spans="1:10" x14ac:dyDescent="0.2">
      <c r="A921">
        <v>8</v>
      </c>
      <c r="B921" s="15" t="s">
        <v>420</v>
      </c>
      <c r="C921" t="s">
        <v>399</v>
      </c>
      <c r="D921" t="s">
        <v>380</v>
      </c>
      <c r="E921" s="17" t="s">
        <v>392</v>
      </c>
      <c r="H921">
        <f t="shared" si="48"/>
        <v>0</v>
      </c>
      <c r="I921">
        <v>41</v>
      </c>
      <c r="J921">
        <f t="shared" si="49"/>
        <v>0</v>
      </c>
    </row>
    <row r="922" spans="1:10" x14ac:dyDescent="0.2">
      <c r="A922">
        <v>8</v>
      </c>
      <c r="B922" s="15" t="s">
        <v>420</v>
      </c>
      <c r="C922" t="s">
        <v>399</v>
      </c>
      <c r="D922" t="s">
        <v>380</v>
      </c>
      <c r="E922" s="17" t="s">
        <v>393</v>
      </c>
      <c r="H922">
        <f t="shared" si="48"/>
        <v>0</v>
      </c>
      <c r="I922">
        <v>41</v>
      </c>
      <c r="J922">
        <f t="shared" si="49"/>
        <v>0</v>
      </c>
    </row>
    <row r="923" spans="1:10" x14ac:dyDescent="0.2">
      <c r="A923">
        <v>8</v>
      </c>
      <c r="B923" s="15" t="s">
        <v>420</v>
      </c>
      <c r="C923" t="s">
        <v>399</v>
      </c>
      <c r="D923" t="s">
        <v>380</v>
      </c>
      <c r="E923" s="17" t="s">
        <v>394</v>
      </c>
      <c r="H923">
        <f t="shared" si="48"/>
        <v>0</v>
      </c>
      <c r="I923">
        <v>41</v>
      </c>
      <c r="J923">
        <f t="shared" si="49"/>
        <v>0</v>
      </c>
    </row>
    <row r="924" spans="1:10" x14ac:dyDescent="0.2">
      <c r="A924">
        <v>8</v>
      </c>
      <c r="B924" s="15" t="s">
        <v>420</v>
      </c>
      <c r="C924" t="s">
        <v>399</v>
      </c>
      <c r="D924" t="s">
        <v>380</v>
      </c>
      <c r="E924" s="17" t="s">
        <v>395</v>
      </c>
      <c r="H924">
        <f t="shared" si="48"/>
        <v>0</v>
      </c>
      <c r="I924">
        <v>41</v>
      </c>
      <c r="J924">
        <f t="shared" si="49"/>
        <v>0</v>
      </c>
    </row>
    <row r="925" spans="1:10" x14ac:dyDescent="0.2">
      <c r="A925">
        <v>8</v>
      </c>
      <c r="B925" s="15" t="s">
        <v>420</v>
      </c>
      <c r="C925" t="s">
        <v>399</v>
      </c>
      <c r="D925" t="s">
        <v>380</v>
      </c>
      <c r="E925" s="17" t="s">
        <v>396</v>
      </c>
      <c r="H925">
        <f t="shared" si="48"/>
        <v>0</v>
      </c>
      <c r="I925">
        <v>41</v>
      </c>
      <c r="J925">
        <f t="shared" si="49"/>
        <v>0</v>
      </c>
    </row>
    <row r="926" spans="1:10" x14ac:dyDescent="0.2">
      <c r="A926">
        <v>9</v>
      </c>
      <c r="B926" s="15" t="s">
        <v>421</v>
      </c>
      <c r="C926" t="s">
        <v>399</v>
      </c>
      <c r="D926" t="s">
        <v>401</v>
      </c>
      <c r="E926" s="17" t="s">
        <v>362</v>
      </c>
      <c r="H926">
        <f>F926-G926</f>
        <v>0</v>
      </c>
      <c r="I926">
        <v>101</v>
      </c>
    </row>
    <row r="927" spans="1:10" x14ac:dyDescent="0.2">
      <c r="A927">
        <v>9</v>
      </c>
      <c r="B927" s="15" t="s">
        <v>421</v>
      </c>
      <c r="C927" t="s">
        <v>399</v>
      </c>
      <c r="D927" t="s">
        <v>401</v>
      </c>
      <c r="E927" s="17" t="s">
        <v>363</v>
      </c>
      <c r="H927">
        <f>F927-G927</f>
        <v>0</v>
      </c>
      <c r="I927">
        <v>101</v>
      </c>
      <c r="J927">
        <f t="shared" ref="J927:J955" si="50">F927-F926</f>
        <v>0</v>
      </c>
    </row>
    <row r="928" spans="1:10" x14ac:dyDescent="0.2">
      <c r="A928">
        <v>9</v>
      </c>
      <c r="B928" s="15" t="s">
        <v>421</v>
      </c>
      <c r="C928" t="s">
        <v>399</v>
      </c>
      <c r="D928" t="s">
        <v>401</v>
      </c>
      <c r="E928" s="17" t="s">
        <v>364</v>
      </c>
      <c r="H928">
        <f>F928-G928</f>
        <v>0</v>
      </c>
      <c r="I928">
        <v>101</v>
      </c>
      <c r="J928">
        <f t="shared" si="50"/>
        <v>0</v>
      </c>
    </row>
    <row r="929" spans="1:10" x14ac:dyDescent="0.2">
      <c r="A929">
        <v>9</v>
      </c>
      <c r="B929" s="15" t="s">
        <v>421</v>
      </c>
      <c r="C929" t="s">
        <v>399</v>
      </c>
      <c r="D929" t="s">
        <v>401</v>
      </c>
      <c r="E929" s="17" t="s">
        <v>365</v>
      </c>
      <c r="H929">
        <f t="shared" ref="H929:H992" si="51">F929-G929</f>
        <v>0</v>
      </c>
      <c r="I929">
        <v>101</v>
      </c>
      <c r="J929">
        <f t="shared" si="50"/>
        <v>0</v>
      </c>
    </row>
    <row r="930" spans="1:10" x14ac:dyDescent="0.2">
      <c r="A930">
        <v>9</v>
      </c>
      <c r="B930" s="15" t="s">
        <v>421</v>
      </c>
      <c r="C930" t="s">
        <v>399</v>
      </c>
      <c r="D930" t="s">
        <v>401</v>
      </c>
      <c r="E930" s="17" t="s">
        <v>366</v>
      </c>
      <c r="H930">
        <f t="shared" si="51"/>
        <v>0</v>
      </c>
      <c r="I930">
        <v>101</v>
      </c>
      <c r="J930">
        <f t="shared" si="50"/>
        <v>0</v>
      </c>
    </row>
    <row r="931" spans="1:10" x14ac:dyDescent="0.2">
      <c r="A931">
        <v>9</v>
      </c>
      <c r="B931" s="15" t="s">
        <v>421</v>
      </c>
      <c r="C931" t="s">
        <v>399</v>
      </c>
      <c r="D931" t="s">
        <v>401</v>
      </c>
      <c r="E931" s="17" t="s">
        <v>367</v>
      </c>
      <c r="H931">
        <f t="shared" si="51"/>
        <v>0</v>
      </c>
      <c r="I931">
        <v>101</v>
      </c>
      <c r="J931">
        <f t="shared" si="50"/>
        <v>0</v>
      </c>
    </row>
    <row r="932" spans="1:10" x14ac:dyDescent="0.2">
      <c r="A932">
        <v>9</v>
      </c>
      <c r="B932" s="15" t="s">
        <v>421</v>
      </c>
      <c r="C932" t="s">
        <v>399</v>
      </c>
      <c r="D932" t="s">
        <v>401</v>
      </c>
      <c r="E932" s="17" t="s">
        <v>368</v>
      </c>
      <c r="H932">
        <f t="shared" si="51"/>
        <v>0</v>
      </c>
      <c r="I932">
        <v>101</v>
      </c>
      <c r="J932">
        <f t="shared" si="50"/>
        <v>0</v>
      </c>
    </row>
    <row r="933" spans="1:10" x14ac:dyDescent="0.2">
      <c r="A933">
        <v>9</v>
      </c>
      <c r="B933" s="15" t="s">
        <v>421</v>
      </c>
      <c r="C933" t="s">
        <v>399</v>
      </c>
      <c r="D933" t="s">
        <v>401</v>
      </c>
      <c r="E933" s="17" t="s">
        <v>369</v>
      </c>
      <c r="H933">
        <f t="shared" si="51"/>
        <v>0</v>
      </c>
      <c r="I933">
        <v>101</v>
      </c>
      <c r="J933">
        <f t="shared" si="50"/>
        <v>0</v>
      </c>
    </row>
    <row r="934" spans="1:10" x14ac:dyDescent="0.2">
      <c r="A934">
        <v>9</v>
      </c>
      <c r="B934" s="15" t="s">
        <v>421</v>
      </c>
      <c r="C934" t="s">
        <v>399</v>
      </c>
      <c r="D934" t="s">
        <v>401</v>
      </c>
      <c r="E934" s="17" t="s">
        <v>370</v>
      </c>
      <c r="H934">
        <f t="shared" si="51"/>
        <v>0</v>
      </c>
      <c r="I934">
        <v>101</v>
      </c>
      <c r="J934">
        <f t="shared" si="50"/>
        <v>0</v>
      </c>
    </row>
    <row r="935" spans="1:10" x14ac:dyDescent="0.2">
      <c r="A935">
        <v>9</v>
      </c>
      <c r="B935" s="15" t="s">
        <v>421</v>
      </c>
      <c r="C935" t="s">
        <v>399</v>
      </c>
      <c r="D935" t="s">
        <v>401</v>
      </c>
      <c r="E935" s="17" t="s">
        <v>371</v>
      </c>
      <c r="H935">
        <f t="shared" si="51"/>
        <v>0</v>
      </c>
      <c r="I935">
        <v>101</v>
      </c>
      <c r="J935">
        <f t="shared" si="50"/>
        <v>0</v>
      </c>
    </row>
    <row r="936" spans="1:10" x14ac:dyDescent="0.2">
      <c r="A936">
        <v>9</v>
      </c>
      <c r="B936" s="15" t="s">
        <v>421</v>
      </c>
      <c r="C936" t="s">
        <v>399</v>
      </c>
      <c r="D936" t="s">
        <v>401</v>
      </c>
      <c r="E936" s="17" t="s">
        <v>372</v>
      </c>
      <c r="H936">
        <f t="shared" si="51"/>
        <v>0</v>
      </c>
      <c r="I936">
        <v>101</v>
      </c>
      <c r="J936">
        <f t="shared" si="50"/>
        <v>0</v>
      </c>
    </row>
    <row r="937" spans="1:10" x14ac:dyDescent="0.2">
      <c r="A937">
        <v>9</v>
      </c>
      <c r="B937" s="15" t="s">
        <v>421</v>
      </c>
      <c r="C937" t="s">
        <v>399</v>
      </c>
      <c r="D937" t="s">
        <v>401</v>
      </c>
      <c r="E937" s="17" t="s">
        <v>373</v>
      </c>
      <c r="H937">
        <f t="shared" si="51"/>
        <v>0</v>
      </c>
      <c r="I937">
        <v>101</v>
      </c>
      <c r="J937">
        <f t="shared" si="50"/>
        <v>0</v>
      </c>
    </row>
    <row r="938" spans="1:10" x14ac:dyDescent="0.2">
      <c r="A938">
        <v>9</v>
      </c>
      <c r="B938" s="15" t="s">
        <v>421</v>
      </c>
      <c r="C938" t="s">
        <v>399</v>
      </c>
      <c r="D938" t="s">
        <v>401</v>
      </c>
      <c r="E938" s="17" t="s">
        <v>374</v>
      </c>
      <c r="H938">
        <f t="shared" si="51"/>
        <v>0</v>
      </c>
      <c r="I938">
        <v>101</v>
      </c>
      <c r="J938">
        <f t="shared" si="50"/>
        <v>0</v>
      </c>
    </row>
    <row r="939" spans="1:10" x14ac:dyDescent="0.2">
      <c r="A939">
        <v>9</v>
      </c>
      <c r="B939" s="15" t="s">
        <v>421</v>
      </c>
      <c r="C939" t="s">
        <v>399</v>
      </c>
      <c r="D939" t="s">
        <v>401</v>
      </c>
      <c r="E939" s="17" t="s">
        <v>375</v>
      </c>
      <c r="H939">
        <f t="shared" si="51"/>
        <v>0</v>
      </c>
      <c r="I939">
        <v>101</v>
      </c>
      <c r="J939">
        <f t="shared" si="50"/>
        <v>0</v>
      </c>
    </row>
    <row r="940" spans="1:10" x14ac:dyDescent="0.2">
      <c r="A940">
        <v>9</v>
      </c>
      <c r="B940" s="15" t="s">
        <v>421</v>
      </c>
      <c r="C940" t="s">
        <v>399</v>
      </c>
      <c r="D940" t="s">
        <v>401</v>
      </c>
      <c r="E940" s="17" t="s">
        <v>376</v>
      </c>
      <c r="H940">
        <f t="shared" si="51"/>
        <v>0</v>
      </c>
      <c r="I940">
        <v>101</v>
      </c>
      <c r="J940">
        <f t="shared" si="50"/>
        <v>0</v>
      </c>
    </row>
    <row r="941" spans="1:10" x14ac:dyDescent="0.2">
      <c r="A941">
        <v>9</v>
      </c>
      <c r="B941" s="15" t="s">
        <v>421</v>
      </c>
      <c r="C941" t="s">
        <v>399</v>
      </c>
      <c r="D941" t="s">
        <v>401</v>
      </c>
      <c r="E941" s="17" t="s">
        <v>377</v>
      </c>
      <c r="H941">
        <f t="shared" si="51"/>
        <v>0</v>
      </c>
      <c r="I941">
        <v>101</v>
      </c>
      <c r="J941">
        <f t="shared" si="50"/>
        <v>0</v>
      </c>
    </row>
    <row r="942" spans="1:10" x14ac:dyDescent="0.2">
      <c r="A942">
        <v>9</v>
      </c>
      <c r="B942" s="15" t="s">
        <v>421</v>
      </c>
      <c r="C942" t="s">
        <v>399</v>
      </c>
      <c r="D942" t="s">
        <v>401</v>
      </c>
      <c r="E942" s="17" t="s">
        <v>378</v>
      </c>
      <c r="H942">
        <f t="shared" si="51"/>
        <v>0</v>
      </c>
      <c r="I942">
        <v>101</v>
      </c>
      <c r="J942">
        <f t="shared" si="50"/>
        <v>0</v>
      </c>
    </row>
    <row r="943" spans="1:10" x14ac:dyDescent="0.2">
      <c r="A943">
        <v>9</v>
      </c>
      <c r="B943" s="15" t="s">
        <v>421</v>
      </c>
      <c r="C943" t="s">
        <v>399</v>
      </c>
      <c r="D943" t="s">
        <v>401</v>
      </c>
      <c r="E943" s="17" t="s">
        <v>384</v>
      </c>
      <c r="H943">
        <f t="shared" si="51"/>
        <v>0</v>
      </c>
      <c r="I943">
        <v>101</v>
      </c>
      <c r="J943">
        <f t="shared" si="50"/>
        <v>0</v>
      </c>
    </row>
    <row r="944" spans="1:10" x14ac:dyDescent="0.2">
      <c r="A944">
        <v>9</v>
      </c>
      <c r="B944" s="15" t="s">
        <v>421</v>
      </c>
      <c r="C944" t="s">
        <v>399</v>
      </c>
      <c r="D944" t="s">
        <v>401</v>
      </c>
      <c r="E944" s="17" t="s">
        <v>385</v>
      </c>
      <c r="H944">
        <f t="shared" si="51"/>
        <v>0</v>
      </c>
      <c r="I944">
        <v>101</v>
      </c>
      <c r="J944">
        <f t="shared" si="50"/>
        <v>0</v>
      </c>
    </row>
    <row r="945" spans="1:10" x14ac:dyDescent="0.2">
      <c r="A945">
        <v>9</v>
      </c>
      <c r="B945" s="15" t="s">
        <v>421</v>
      </c>
      <c r="C945" t="s">
        <v>399</v>
      </c>
      <c r="D945" t="s">
        <v>401</v>
      </c>
      <c r="E945" s="17" t="s">
        <v>386</v>
      </c>
      <c r="H945">
        <f t="shared" si="51"/>
        <v>0</v>
      </c>
      <c r="I945">
        <v>101</v>
      </c>
      <c r="J945">
        <f t="shared" si="50"/>
        <v>0</v>
      </c>
    </row>
    <row r="946" spans="1:10" x14ac:dyDescent="0.2">
      <c r="A946">
        <v>9</v>
      </c>
      <c r="B946" s="15" t="s">
        <v>421</v>
      </c>
      <c r="C946" t="s">
        <v>399</v>
      </c>
      <c r="D946" t="s">
        <v>401</v>
      </c>
      <c r="E946" s="17" t="s">
        <v>387</v>
      </c>
      <c r="H946">
        <f t="shared" si="51"/>
        <v>0</v>
      </c>
      <c r="I946">
        <v>101</v>
      </c>
      <c r="J946">
        <f t="shared" si="50"/>
        <v>0</v>
      </c>
    </row>
    <row r="947" spans="1:10" x14ac:dyDescent="0.2">
      <c r="A947">
        <v>9</v>
      </c>
      <c r="B947" s="15" t="s">
        <v>421</v>
      </c>
      <c r="C947" t="s">
        <v>399</v>
      </c>
      <c r="D947" t="s">
        <v>401</v>
      </c>
      <c r="E947" s="17" t="s">
        <v>388</v>
      </c>
      <c r="H947">
        <f t="shared" si="51"/>
        <v>0</v>
      </c>
      <c r="I947">
        <v>101</v>
      </c>
      <c r="J947">
        <f t="shared" si="50"/>
        <v>0</v>
      </c>
    </row>
    <row r="948" spans="1:10" x14ac:dyDescent="0.2">
      <c r="A948">
        <v>9</v>
      </c>
      <c r="B948" s="15" t="s">
        <v>421</v>
      </c>
      <c r="C948" t="s">
        <v>399</v>
      </c>
      <c r="D948" t="s">
        <v>401</v>
      </c>
      <c r="E948" s="17" t="s">
        <v>389</v>
      </c>
      <c r="H948">
        <f t="shared" si="51"/>
        <v>0</v>
      </c>
      <c r="I948">
        <v>101</v>
      </c>
      <c r="J948">
        <f t="shared" si="50"/>
        <v>0</v>
      </c>
    </row>
    <row r="949" spans="1:10" x14ac:dyDescent="0.2">
      <c r="A949">
        <v>9</v>
      </c>
      <c r="B949" s="15" t="s">
        <v>421</v>
      </c>
      <c r="C949" t="s">
        <v>399</v>
      </c>
      <c r="D949" t="s">
        <v>401</v>
      </c>
      <c r="E949" s="17" t="s">
        <v>390</v>
      </c>
      <c r="H949">
        <f t="shared" si="51"/>
        <v>0</v>
      </c>
      <c r="I949">
        <v>101</v>
      </c>
      <c r="J949">
        <f t="shared" si="50"/>
        <v>0</v>
      </c>
    </row>
    <row r="950" spans="1:10" x14ac:dyDescent="0.2">
      <c r="A950">
        <v>9</v>
      </c>
      <c r="B950" s="15" t="s">
        <v>421</v>
      </c>
      <c r="C950" t="s">
        <v>399</v>
      </c>
      <c r="D950" t="s">
        <v>401</v>
      </c>
      <c r="E950" s="17" t="s">
        <v>391</v>
      </c>
      <c r="H950">
        <f t="shared" si="51"/>
        <v>0</v>
      </c>
      <c r="I950">
        <v>101</v>
      </c>
      <c r="J950">
        <f t="shared" si="50"/>
        <v>0</v>
      </c>
    </row>
    <row r="951" spans="1:10" x14ac:dyDescent="0.2">
      <c r="A951">
        <v>9</v>
      </c>
      <c r="B951" s="15" t="s">
        <v>421</v>
      </c>
      <c r="C951" t="s">
        <v>399</v>
      </c>
      <c r="D951" t="s">
        <v>401</v>
      </c>
      <c r="E951" s="17" t="s">
        <v>392</v>
      </c>
      <c r="H951">
        <f t="shared" si="51"/>
        <v>0</v>
      </c>
      <c r="I951">
        <v>101</v>
      </c>
      <c r="J951">
        <f t="shared" si="50"/>
        <v>0</v>
      </c>
    </row>
    <row r="952" spans="1:10" x14ac:dyDescent="0.2">
      <c r="A952">
        <v>9</v>
      </c>
      <c r="B952" s="15" t="s">
        <v>421</v>
      </c>
      <c r="C952" t="s">
        <v>399</v>
      </c>
      <c r="D952" t="s">
        <v>401</v>
      </c>
      <c r="E952" s="17" t="s">
        <v>393</v>
      </c>
      <c r="H952">
        <f t="shared" si="51"/>
        <v>0</v>
      </c>
      <c r="I952">
        <v>101</v>
      </c>
      <c r="J952">
        <f t="shared" si="50"/>
        <v>0</v>
      </c>
    </row>
    <row r="953" spans="1:10" x14ac:dyDescent="0.2">
      <c r="A953">
        <v>9</v>
      </c>
      <c r="B953" s="15" t="s">
        <v>421</v>
      </c>
      <c r="C953" t="s">
        <v>399</v>
      </c>
      <c r="D953" t="s">
        <v>401</v>
      </c>
      <c r="E953" s="17" t="s">
        <v>394</v>
      </c>
      <c r="H953">
        <f t="shared" si="51"/>
        <v>0</v>
      </c>
      <c r="I953">
        <v>101</v>
      </c>
      <c r="J953">
        <f t="shared" si="50"/>
        <v>0</v>
      </c>
    </row>
    <row r="954" spans="1:10" x14ac:dyDescent="0.2">
      <c r="A954">
        <v>9</v>
      </c>
      <c r="B954" s="15" t="s">
        <v>421</v>
      </c>
      <c r="C954" t="s">
        <v>399</v>
      </c>
      <c r="D954" t="s">
        <v>401</v>
      </c>
      <c r="E954" s="17" t="s">
        <v>395</v>
      </c>
      <c r="H954">
        <f t="shared" si="51"/>
        <v>0</v>
      </c>
      <c r="I954">
        <v>101</v>
      </c>
      <c r="J954">
        <f t="shared" si="50"/>
        <v>0</v>
      </c>
    </row>
    <row r="955" spans="1:10" x14ac:dyDescent="0.2">
      <c r="A955">
        <v>9</v>
      </c>
      <c r="B955" s="15" t="s">
        <v>421</v>
      </c>
      <c r="C955" t="s">
        <v>399</v>
      </c>
      <c r="D955" t="s">
        <v>401</v>
      </c>
      <c r="E955" s="17" t="s">
        <v>396</v>
      </c>
      <c r="H955">
        <f t="shared" si="51"/>
        <v>0</v>
      </c>
      <c r="I955">
        <v>101</v>
      </c>
      <c r="J955">
        <f t="shared" si="50"/>
        <v>0</v>
      </c>
    </row>
    <row r="956" spans="1:10" x14ac:dyDescent="0.2">
      <c r="A956">
        <v>9</v>
      </c>
      <c r="B956" s="15" t="s">
        <v>421</v>
      </c>
      <c r="C956" t="s">
        <v>399</v>
      </c>
      <c r="D956" t="s">
        <v>380</v>
      </c>
      <c r="E956" s="17" t="s">
        <v>362</v>
      </c>
      <c r="H956">
        <f t="shared" si="51"/>
        <v>0</v>
      </c>
      <c r="I956">
        <v>101</v>
      </c>
    </row>
    <row r="957" spans="1:10" x14ac:dyDescent="0.2">
      <c r="A957">
        <v>9</v>
      </c>
      <c r="B957" s="15" t="s">
        <v>421</v>
      </c>
      <c r="C957" t="s">
        <v>399</v>
      </c>
      <c r="D957" t="s">
        <v>380</v>
      </c>
      <c r="E957" s="17" t="s">
        <v>363</v>
      </c>
      <c r="H957">
        <f t="shared" si="51"/>
        <v>0</v>
      </c>
      <c r="I957">
        <v>101</v>
      </c>
      <c r="J957">
        <f t="shared" ref="J957:J985" si="52">F957-F956</f>
        <v>0</v>
      </c>
    </row>
    <row r="958" spans="1:10" x14ac:dyDescent="0.2">
      <c r="A958">
        <v>9</v>
      </c>
      <c r="B958" s="15" t="s">
        <v>421</v>
      </c>
      <c r="C958" t="s">
        <v>399</v>
      </c>
      <c r="D958" t="s">
        <v>380</v>
      </c>
      <c r="E958" s="17" t="s">
        <v>364</v>
      </c>
      <c r="H958">
        <f t="shared" si="51"/>
        <v>0</v>
      </c>
      <c r="I958">
        <v>101</v>
      </c>
      <c r="J958">
        <f t="shared" si="52"/>
        <v>0</v>
      </c>
    </row>
    <row r="959" spans="1:10" x14ac:dyDescent="0.2">
      <c r="A959">
        <v>9</v>
      </c>
      <c r="B959" s="15" t="s">
        <v>421</v>
      </c>
      <c r="C959" t="s">
        <v>399</v>
      </c>
      <c r="D959" t="s">
        <v>380</v>
      </c>
      <c r="E959" s="17" t="s">
        <v>365</v>
      </c>
      <c r="H959">
        <f t="shared" si="51"/>
        <v>0</v>
      </c>
      <c r="I959">
        <v>101</v>
      </c>
      <c r="J959">
        <f t="shared" si="52"/>
        <v>0</v>
      </c>
    </row>
    <row r="960" spans="1:10" x14ac:dyDescent="0.2">
      <c r="A960">
        <v>9</v>
      </c>
      <c r="B960" s="15" t="s">
        <v>421</v>
      </c>
      <c r="C960" t="s">
        <v>399</v>
      </c>
      <c r="D960" t="s">
        <v>380</v>
      </c>
      <c r="E960" s="17" t="s">
        <v>366</v>
      </c>
      <c r="H960">
        <f t="shared" si="51"/>
        <v>0</v>
      </c>
      <c r="I960">
        <v>101</v>
      </c>
      <c r="J960">
        <f t="shared" si="52"/>
        <v>0</v>
      </c>
    </row>
    <row r="961" spans="1:10" x14ac:dyDescent="0.2">
      <c r="A961">
        <v>9</v>
      </c>
      <c r="B961" s="15" t="s">
        <v>421</v>
      </c>
      <c r="C961" t="s">
        <v>399</v>
      </c>
      <c r="D961" t="s">
        <v>380</v>
      </c>
      <c r="E961" s="17" t="s">
        <v>367</v>
      </c>
      <c r="H961">
        <f t="shared" si="51"/>
        <v>0</v>
      </c>
      <c r="I961">
        <v>101</v>
      </c>
      <c r="J961">
        <f t="shared" si="52"/>
        <v>0</v>
      </c>
    </row>
    <row r="962" spans="1:10" x14ac:dyDescent="0.2">
      <c r="A962">
        <v>9</v>
      </c>
      <c r="B962" s="15" t="s">
        <v>421</v>
      </c>
      <c r="C962" t="s">
        <v>399</v>
      </c>
      <c r="D962" t="s">
        <v>380</v>
      </c>
      <c r="E962" s="17" t="s">
        <v>368</v>
      </c>
      <c r="H962">
        <f t="shared" si="51"/>
        <v>0</v>
      </c>
      <c r="I962">
        <v>101</v>
      </c>
      <c r="J962">
        <f t="shared" si="52"/>
        <v>0</v>
      </c>
    </row>
    <row r="963" spans="1:10" x14ac:dyDescent="0.2">
      <c r="A963">
        <v>9</v>
      </c>
      <c r="B963" s="15" t="s">
        <v>421</v>
      </c>
      <c r="C963" t="s">
        <v>399</v>
      </c>
      <c r="D963" t="s">
        <v>380</v>
      </c>
      <c r="E963" s="17" t="s">
        <v>369</v>
      </c>
      <c r="H963">
        <f t="shared" si="51"/>
        <v>0</v>
      </c>
      <c r="I963">
        <v>101</v>
      </c>
      <c r="J963">
        <f t="shared" si="52"/>
        <v>0</v>
      </c>
    </row>
    <row r="964" spans="1:10" x14ac:dyDescent="0.2">
      <c r="A964">
        <v>9</v>
      </c>
      <c r="B964" s="15" t="s">
        <v>421</v>
      </c>
      <c r="C964" t="s">
        <v>399</v>
      </c>
      <c r="D964" t="s">
        <v>380</v>
      </c>
      <c r="E964" s="17" t="s">
        <v>370</v>
      </c>
      <c r="H964">
        <f t="shared" si="51"/>
        <v>0</v>
      </c>
      <c r="I964">
        <v>101</v>
      </c>
      <c r="J964">
        <f t="shared" si="52"/>
        <v>0</v>
      </c>
    </row>
    <row r="965" spans="1:10" x14ac:dyDescent="0.2">
      <c r="A965">
        <v>9</v>
      </c>
      <c r="B965" s="15" t="s">
        <v>421</v>
      </c>
      <c r="C965" t="s">
        <v>399</v>
      </c>
      <c r="D965" t="s">
        <v>380</v>
      </c>
      <c r="E965" s="17" t="s">
        <v>371</v>
      </c>
      <c r="H965">
        <f t="shared" si="51"/>
        <v>0</v>
      </c>
      <c r="I965">
        <v>101</v>
      </c>
      <c r="J965">
        <f t="shared" si="52"/>
        <v>0</v>
      </c>
    </row>
    <row r="966" spans="1:10" x14ac:dyDescent="0.2">
      <c r="A966">
        <v>9</v>
      </c>
      <c r="B966" s="15" t="s">
        <v>421</v>
      </c>
      <c r="C966" t="s">
        <v>399</v>
      </c>
      <c r="D966" t="s">
        <v>380</v>
      </c>
      <c r="E966" s="17" t="s">
        <v>372</v>
      </c>
      <c r="H966">
        <f t="shared" si="51"/>
        <v>0</v>
      </c>
      <c r="I966">
        <v>101</v>
      </c>
      <c r="J966">
        <f t="shared" si="52"/>
        <v>0</v>
      </c>
    </row>
    <row r="967" spans="1:10" x14ac:dyDescent="0.2">
      <c r="A967">
        <v>9</v>
      </c>
      <c r="B967" s="15" t="s">
        <v>421</v>
      </c>
      <c r="C967" t="s">
        <v>399</v>
      </c>
      <c r="D967" t="s">
        <v>380</v>
      </c>
      <c r="E967" s="17" t="s">
        <v>373</v>
      </c>
      <c r="H967">
        <f t="shared" si="51"/>
        <v>0</v>
      </c>
      <c r="I967">
        <v>101</v>
      </c>
      <c r="J967">
        <f t="shared" si="52"/>
        <v>0</v>
      </c>
    </row>
    <row r="968" spans="1:10" x14ac:dyDescent="0.2">
      <c r="A968">
        <v>9</v>
      </c>
      <c r="B968" s="15" t="s">
        <v>421</v>
      </c>
      <c r="C968" t="s">
        <v>399</v>
      </c>
      <c r="D968" t="s">
        <v>380</v>
      </c>
      <c r="E968" s="17" t="s">
        <v>374</v>
      </c>
      <c r="H968">
        <f t="shared" si="51"/>
        <v>0</v>
      </c>
      <c r="I968">
        <v>101</v>
      </c>
      <c r="J968">
        <f t="shared" si="52"/>
        <v>0</v>
      </c>
    </row>
    <row r="969" spans="1:10" x14ac:dyDescent="0.2">
      <c r="A969">
        <v>9</v>
      </c>
      <c r="B969" s="15" t="s">
        <v>421</v>
      </c>
      <c r="C969" t="s">
        <v>399</v>
      </c>
      <c r="D969" t="s">
        <v>380</v>
      </c>
      <c r="E969" s="17" t="s">
        <v>375</v>
      </c>
      <c r="H969">
        <f t="shared" si="51"/>
        <v>0</v>
      </c>
      <c r="I969">
        <v>101</v>
      </c>
      <c r="J969">
        <f t="shared" si="52"/>
        <v>0</v>
      </c>
    </row>
    <row r="970" spans="1:10" x14ac:dyDescent="0.2">
      <c r="A970">
        <v>9</v>
      </c>
      <c r="B970" s="15" t="s">
        <v>421</v>
      </c>
      <c r="C970" t="s">
        <v>399</v>
      </c>
      <c r="D970" t="s">
        <v>380</v>
      </c>
      <c r="E970" s="17" t="s">
        <v>376</v>
      </c>
      <c r="H970">
        <f t="shared" si="51"/>
        <v>0</v>
      </c>
      <c r="I970">
        <v>101</v>
      </c>
      <c r="J970">
        <f t="shared" si="52"/>
        <v>0</v>
      </c>
    </row>
    <row r="971" spans="1:10" x14ac:dyDescent="0.2">
      <c r="A971">
        <v>9</v>
      </c>
      <c r="B971" s="15" t="s">
        <v>421</v>
      </c>
      <c r="C971" t="s">
        <v>399</v>
      </c>
      <c r="D971" t="s">
        <v>380</v>
      </c>
      <c r="E971" s="17" t="s">
        <v>377</v>
      </c>
      <c r="H971">
        <f t="shared" si="51"/>
        <v>0</v>
      </c>
      <c r="I971">
        <v>101</v>
      </c>
      <c r="J971">
        <f t="shared" si="52"/>
        <v>0</v>
      </c>
    </row>
    <row r="972" spans="1:10" x14ac:dyDescent="0.2">
      <c r="A972">
        <v>9</v>
      </c>
      <c r="B972" s="15" t="s">
        <v>421</v>
      </c>
      <c r="C972" t="s">
        <v>399</v>
      </c>
      <c r="D972" t="s">
        <v>380</v>
      </c>
      <c r="E972" s="17" t="s">
        <v>378</v>
      </c>
      <c r="H972">
        <f t="shared" si="51"/>
        <v>0</v>
      </c>
      <c r="I972">
        <v>101</v>
      </c>
      <c r="J972">
        <f t="shared" si="52"/>
        <v>0</v>
      </c>
    </row>
    <row r="973" spans="1:10" x14ac:dyDescent="0.2">
      <c r="A973">
        <v>9</v>
      </c>
      <c r="B973" s="15" t="s">
        <v>421</v>
      </c>
      <c r="C973" t="s">
        <v>399</v>
      </c>
      <c r="D973" t="s">
        <v>380</v>
      </c>
      <c r="E973" s="17" t="s">
        <v>384</v>
      </c>
      <c r="H973">
        <f t="shared" si="51"/>
        <v>0</v>
      </c>
      <c r="I973">
        <v>101</v>
      </c>
      <c r="J973">
        <f t="shared" si="52"/>
        <v>0</v>
      </c>
    </row>
    <row r="974" spans="1:10" x14ac:dyDescent="0.2">
      <c r="A974">
        <v>9</v>
      </c>
      <c r="B974" s="15" t="s">
        <v>421</v>
      </c>
      <c r="C974" t="s">
        <v>399</v>
      </c>
      <c r="D974" t="s">
        <v>380</v>
      </c>
      <c r="E974" s="17" t="s">
        <v>385</v>
      </c>
      <c r="H974">
        <f t="shared" si="51"/>
        <v>0</v>
      </c>
      <c r="I974">
        <v>101</v>
      </c>
      <c r="J974">
        <f t="shared" si="52"/>
        <v>0</v>
      </c>
    </row>
    <row r="975" spans="1:10" x14ac:dyDescent="0.2">
      <c r="A975">
        <v>9</v>
      </c>
      <c r="B975" s="15" t="s">
        <v>421</v>
      </c>
      <c r="C975" t="s">
        <v>399</v>
      </c>
      <c r="D975" t="s">
        <v>380</v>
      </c>
      <c r="E975" s="17" t="s">
        <v>386</v>
      </c>
      <c r="H975">
        <f t="shared" si="51"/>
        <v>0</v>
      </c>
      <c r="I975">
        <v>101</v>
      </c>
      <c r="J975">
        <f t="shared" si="52"/>
        <v>0</v>
      </c>
    </row>
    <row r="976" spans="1:10" x14ac:dyDescent="0.2">
      <c r="A976">
        <v>9</v>
      </c>
      <c r="B976" s="15" t="s">
        <v>421</v>
      </c>
      <c r="C976" t="s">
        <v>399</v>
      </c>
      <c r="D976" t="s">
        <v>380</v>
      </c>
      <c r="E976" s="17" t="s">
        <v>387</v>
      </c>
      <c r="H976">
        <f t="shared" si="51"/>
        <v>0</v>
      </c>
      <c r="I976">
        <v>101</v>
      </c>
      <c r="J976">
        <f t="shared" si="52"/>
        <v>0</v>
      </c>
    </row>
    <row r="977" spans="1:10" x14ac:dyDescent="0.2">
      <c r="A977">
        <v>9</v>
      </c>
      <c r="B977" s="15" t="s">
        <v>421</v>
      </c>
      <c r="C977" t="s">
        <v>399</v>
      </c>
      <c r="D977" t="s">
        <v>380</v>
      </c>
      <c r="E977" s="17" t="s">
        <v>388</v>
      </c>
      <c r="H977">
        <f t="shared" si="51"/>
        <v>0</v>
      </c>
      <c r="I977">
        <v>101</v>
      </c>
      <c r="J977">
        <f t="shared" si="52"/>
        <v>0</v>
      </c>
    </row>
    <row r="978" spans="1:10" x14ac:dyDescent="0.2">
      <c r="A978">
        <v>9</v>
      </c>
      <c r="B978" s="15" t="s">
        <v>421</v>
      </c>
      <c r="C978" t="s">
        <v>399</v>
      </c>
      <c r="D978" t="s">
        <v>380</v>
      </c>
      <c r="E978" s="17" t="s">
        <v>389</v>
      </c>
      <c r="H978">
        <f t="shared" si="51"/>
        <v>0</v>
      </c>
      <c r="I978">
        <v>101</v>
      </c>
      <c r="J978">
        <f t="shared" si="52"/>
        <v>0</v>
      </c>
    </row>
    <row r="979" spans="1:10" x14ac:dyDescent="0.2">
      <c r="A979">
        <v>9</v>
      </c>
      <c r="B979" s="15" t="s">
        <v>421</v>
      </c>
      <c r="C979" t="s">
        <v>399</v>
      </c>
      <c r="D979" t="s">
        <v>380</v>
      </c>
      <c r="E979" s="17" t="s">
        <v>390</v>
      </c>
      <c r="H979">
        <f t="shared" si="51"/>
        <v>0</v>
      </c>
      <c r="I979">
        <v>101</v>
      </c>
      <c r="J979">
        <f t="shared" si="52"/>
        <v>0</v>
      </c>
    </row>
    <row r="980" spans="1:10" x14ac:dyDescent="0.2">
      <c r="A980">
        <v>9</v>
      </c>
      <c r="B980" s="15" t="s">
        <v>421</v>
      </c>
      <c r="C980" t="s">
        <v>399</v>
      </c>
      <c r="D980" t="s">
        <v>380</v>
      </c>
      <c r="E980" s="17" t="s">
        <v>391</v>
      </c>
      <c r="H980">
        <f t="shared" si="51"/>
        <v>0</v>
      </c>
      <c r="I980">
        <v>101</v>
      </c>
      <c r="J980">
        <f t="shared" si="52"/>
        <v>0</v>
      </c>
    </row>
    <row r="981" spans="1:10" x14ac:dyDescent="0.2">
      <c r="A981">
        <v>9</v>
      </c>
      <c r="B981" s="15" t="s">
        <v>421</v>
      </c>
      <c r="C981" t="s">
        <v>399</v>
      </c>
      <c r="D981" t="s">
        <v>380</v>
      </c>
      <c r="E981" s="17" t="s">
        <v>392</v>
      </c>
      <c r="H981">
        <f t="shared" si="51"/>
        <v>0</v>
      </c>
      <c r="I981">
        <v>101</v>
      </c>
      <c r="J981">
        <f t="shared" si="52"/>
        <v>0</v>
      </c>
    </row>
    <row r="982" spans="1:10" x14ac:dyDescent="0.2">
      <c r="A982">
        <v>9</v>
      </c>
      <c r="B982" s="15" t="s">
        <v>421</v>
      </c>
      <c r="C982" t="s">
        <v>399</v>
      </c>
      <c r="D982" t="s">
        <v>380</v>
      </c>
      <c r="E982" s="17" t="s">
        <v>393</v>
      </c>
      <c r="H982">
        <f t="shared" si="51"/>
        <v>0</v>
      </c>
      <c r="I982">
        <v>101</v>
      </c>
      <c r="J982">
        <f t="shared" si="52"/>
        <v>0</v>
      </c>
    </row>
    <row r="983" spans="1:10" x14ac:dyDescent="0.2">
      <c r="A983">
        <v>9</v>
      </c>
      <c r="B983" s="15" t="s">
        <v>421</v>
      </c>
      <c r="C983" t="s">
        <v>399</v>
      </c>
      <c r="D983" t="s">
        <v>380</v>
      </c>
      <c r="E983" s="17" t="s">
        <v>394</v>
      </c>
      <c r="H983">
        <f t="shared" si="51"/>
        <v>0</v>
      </c>
      <c r="I983">
        <v>101</v>
      </c>
      <c r="J983">
        <f t="shared" si="52"/>
        <v>0</v>
      </c>
    </row>
    <row r="984" spans="1:10" x14ac:dyDescent="0.2">
      <c r="A984">
        <v>9</v>
      </c>
      <c r="B984" s="15" t="s">
        <v>421</v>
      </c>
      <c r="C984" t="s">
        <v>399</v>
      </c>
      <c r="D984" t="s">
        <v>380</v>
      </c>
      <c r="E984" s="17" t="s">
        <v>395</v>
      </c>
      <c r="H984">
        <f t="shared" si="51"/>
        <v>0</v>
      </c>
      <c r="I984">
        <v>101</v>
      </c>
      <c r="J984">
        <f t="shared" si="52"/>
        <v>0</v>
      </c>
    </row>
    <row r="985" spans="1:10" x14ac:dyDescent="0.2">
      <c r="A985">
        <v>9</v>
      </c>
      <c r="B985" s="15" t="s">
        <v>421</v>
      </c>
      <c r="C985" t="s">
        <v>399</v>
      </c>
      <c r="D985" t="s">
        <v>380</v>
      </c>
      <c r="E985" s="17" t="s">
        <v>396</v>
      </c>
      <c r="H985">
        <f t="shared" si="51"/>
        <v>0</v>
      </c>
      <c r="I985">
        <v>101</v>
      </c>
      <c r="J985">
        <f t="shared" si="52"/>
        <v>0</v>
      </c>
    </row>
    <row r="986" spans="1:10" x14ac:dyDescent="0.2">
      <c r="A986">
        <v>9</v>
      </c>
      <c r="B986" s="15" t="s">
        <v>421</v>
      </c>
      <c r="C986" t="s">
        <v>399</v>
      </c>
      <c r="D986" t="s">
        <v>401</v>
      </c>
      <c r="E986" s="17" t="s">
        <v>362</v>
      </c>
      <c r="H986">
        <f t="shared" si="51"/>
        <v>0</v>
      </c>
      <c r="I986">
        <v>41</v>
      </c>
    </row>
    <row r="987" spans="1:10" x14ac:dyDescent="0.2">
      <c r="A987">
        <v>9</v>
      </c>
      <c r="B987" s="15" t="s">
        <v>421</v>
      </c>
      <c r="C987" t="s">
        <v>399</v>
      </c>
      <c r="D987" t="s">
        <v>401</v>
      </c>
      <c r="E987" s="17" t="s">
        <v>363</v>
      </c>
      <c r="H987">
        <f t="shared" si="51"/>
        <v>0</v>
      </c>
      <c r="I987">
        <v>41</v>
      </c>
      <c r="J987">
        <f t="shared" ref="J987:J1015" si="53">F987-F986</f>
        <v>0</v>
      </c>
    </row>
    <row r="988" spans="1:10" x14ac:dyDescent="0.2">
      <c r="A988">
        <v>9</v>
      </c>
      <c r="B988" s="15" t="s">
        <v>421</v>
      </c>
      <c r="C988" t="s">
        <v>399</v>
      </c>
      <c r="D988" t="s">
        <v>401</v>
      </c>
      <c r="E988" s="17" t="s">
        <v>364</v>
      </c>
      <c r="H988">
        <f t="shared" si="51"/>
        <v>0</v>
      </c>
      <c r="I988">
        <v>41</v>
      </c>
      <c r="J988">
        <f t="shared" si="53"/>
        <v>0</v>
      </c>
    </row>
    <row r="989" spans="1:10" x14ac:dyDescent="0.2">
      <c r="A989">
        <v>9</v>
      </c>
      <c r="B989" s="15" t="s">
        <v>421</v>
      </c>
      <c r="C989" t="s">
        <v>399</v>
      </c>
      <c r="D989" t="s">
        <v>401</v>
      </c>
      <c r="E989" s="17" t="s">
        <v>365</v>
      </c>
      <c r="H989">
        <f t="shared" si="51"/>
        <v>0</v>
      </c>
      <c r="I989">
        <v>41</v>
      </c>
      <c r="J989">
        <f t="shared" si="53"/>
        <v>0</v>
      </c>
    </row>
    <row r="990" spans="1:10" x14ac:dyDescent="0.2">
      <c r="A990">
        <v>9</v>
      </c>
      <c r="B990" s="15" t="s">
        <v>421</v>
      </c>
      <c r="C990" t="s">
        <v>399</v>
      </c>
      <c r="D990" t="s">
        <v>401</v>
      </c>
      <c r="E990" s="17" t="s">
        <v>366</v>
      </c>
      <c r="H990">
        <f t="shared" si="51"/>
        <v>0</v>
      </c>
      <c r="I990">
        <v>41</v>
      </c>
      <c r="J990">
        <f t="shared" si="53"/>
        <v>0</v>
      </c>
    </row>
    <row r="991" spans="1:10" x14ac:dyDescent="0.2">
      <c r="A991">
        <v>9</v>
      </c>
      <c r="B991" s="15" t="s">
        <v>421</v>
      </c>
      <c r="C991" t="s">
        <v>399</v>
      </c>
      <c r="D991" t="s">
        <v>401</v>
      </c>
      <c r="E991" s="17" t="s">
        <v>367</v>
      </c>
      <c r="H991">
        <f t="shared" si="51"/>
        <v>0</v>
      </c>
      <c r="I991">
        <v>41</v>
      </c>
      <c r="J991">
        <f t="shared" si="53"/>
        <v>0</v>
      </c>
    </row>
    <row r="992" spans="1:10" x14ac:dyDescent="0.2">
      <c r="A992">
        <v>9</v>
      </c>
      <c r="B992" s="15" t="s">
        <v>421</v>
      </c>
      <c r="C992" t="s">
        <v>399</v>
      </c>
      <c r="D992" t="s">
        <v>401</v>
      </c>
      <c r="E992" s="17" t="s">
        <v>368</v>
      </c>
      <c r="H992">
        <f t="shared" si="51"/>
        <v>0</v>
      </c>
      <c r="I992">
        <v>41</v>
      </c>
      <c r="J992">
        <f t="shared" si="53"/>
        <v>0</v>
      </c>
    </row>
    <row r="993" spans="1:10" x14ac:dyDescent="0.2">
      <c r="A993">
        <v>9</v>
      </c>
      <c r="B993" s="15" t="s">
        <v>421</v>
      </c>
      <c r="C993" t="s">
        <v>399</v>
      </c>
      <c r="D993" t="s">
        <v>401</v>
      </c>
      <c r="E993" s="17" t="s">
        <v>369</v>
      </c>
      <c r="H993">
        <f t="shared" ref="H993:H1045" si="54">F993-G993</f>
        <v>0</v>
      </c>
      <c r="I993">
        <v>41</v>
      </c>
      <c r="J993">
        <f t="shared" si="53"/>
        <v>0</v>
      </c>
    </row>
    <row r="994" spans="1:10" x14ac:dyDescent="0.2">
      <c r="A994">
        <v>9</v>
      </c>
      <c r="B994" s="15" t="s">
        <v>421</v>
      </c>
      <c r="C994" t="s">
        <v>399</v>
      </c>
      <c r="D994" t="s">
        <v>401</v>
      </c>
      <c r="E994" s="17" t="s">
        <v>370</v>
      </c>
      <c r="H994">
        <f t="shared" si="54"/>
        <v>0</v>
      </c>
      <c r="I994">
        <v>41</v>
      </c>
      <c r="J994">
        <f t="shared" si="53"/>
        <v>0</v>
      </c>
    </row>
    <row r="995" spans="1:10" x14ac:dyDescent="0.2">
      <c r="A995">
        <v>9</v>
      </c>
      <c r="B995" s="15" t="s">
        <v>421</v>
      </c>
      <c r="C995" t="s">
        <v>399</v>
      </c>
      <c r="D995" t="s">
        <v>401</v>
      </c>
      <c r="E995" s="17" t="s">
        <v>371</v>
      </c>
      <c r="H995">
        <f t="shared" si="54"/>
        <v>0</v>
      </c>
      <c r="I995">
        <v>41</v>
      </c>
      <c r="J995">
        <f t="shared" si="53"/>
        <v>0</v>
      </c>
    </row>
    <row r="996" spans="1:10" x14ac:dyDescent="0.2">
      <c r="A996">
        <v>9</v>
      </c>
      <c r="B996" s="15" t="s">
        <v>421</v>
      </c>
      <c r="C996" t="s">
        <v>399</v>
      </c>
      <c r="D996" t="s">
        <v>401</v>
      </c>
      <c r="E996" s="17" t="s">
        <v>372</v>
      </c>
      <c r="H996">
        <f t="shared" si="54"/>
        <v>0</v>
      </c>
      <c r="I996">
        <v>41</v>
      </c>
      <c r="J996">
        <f t="shared" si="53"/>
        <v>0</v>
      </c>
    </row>
    <row r="997" spans="1:10" x14ac:dyDescent="0.2">
      <c r="A997">
        <v>9</v>
      </c>
      <c r="B997" s="15" t="s">
        <v>421</v>
      </c>
      <c r="C997" t="s">
        <v>399</v>
      </c>
      <c r="D997" t="s">
        <v>401</v>
      </c>
      <c r="E997" s="17" t="s">
        <v>373</v>
      </c>
      <c r="H997">
        <f t="shared" si="54"/>
        <v>0</v>
      </c>
      <c r="I997">
        <v>41</v>
      </c>
      <c r="J997">
        <f t="shared" si="53"/>
        <v>0</v>
      </c>
    </row>
    <row r="998" spans="1:10" x14ac:dyDescent="0.2">
      <c r="A998">
        <v>9</v>
      </c>
      <c r="B998" s="15" t="s">
        <v>421</v>
      </c>
      <c r="C998" t="s">
        <v>399</v>
      </c>
      <c r="D998" t="s">
        <v>401</v>
      </c>
      <c r="E998" s="17" t="s">
        <v>374</v>
      </c>
      <c r="H998">
        <f t="shared" si="54"/>
        <v>0</v>
      </c>
      <c r="I998">
        <v>41</v>
      </c>
      <c r="J998">
        <f t="shared" si="53"/>
        <v>0</v>
      </c>
    </row>
    <row r="999" spans="1:10" x14ac:dyDescent="0.2">
      <c r="A999">
        <v>9</v>
      </c>
      <c r="B999" s="15" t="s">
        <v>421</v>
      </c>
      <c r="C999" t="s">
        <v>399</v>
      </c>
      <c r="D999" t="s">
        <v>401</v>
      </c>
      <c r="E999" s="17" t="s">
        <v>375</v>
      </c>
      <c r="H999">
        <f t="shared" si="54"/>
        <v>0</v>
      </c>
      <c r="I999">
        <v>41</v>
      </c>
      <c r="J999">
        <f t="shared" si="53"/>
        <v>0</v>
      </c>
    </row>
    <row r="1000" spans="1:10" x14ac:dyDescent="0.2">
      <c r="A1000">
        <v>9</v>
      </c>
      <c r="B1000" s="15" t="s">
        <v>421</v>
      </c>
      <c r="C1000" t="s">
        <v>399</v>
      </c>
      <c r="D1000" t="s">
        <v>401</v>
      </c>
      <c r="E1000" s="17" t="s">
        <v>376</v>
      </c>
      <c r="H1000">
        <f t="shared" si="54"/>
        <v>0</v>
      </c>
      <c r="I1000">
        <v>41</v>
      </c>
      <c r="J1000">
        <f t="shared" si="53"/>
        <v>0</v>
      </c>
    </row>
    <row r="1001" spans="1:10" x14ac:dyDescent="0.2">
      <c r="A1001">
        <v>9</v>
      </c>
      <c r="B1001" s="15" t="s">
        <v>421</v>
      </c>
      <c r="C1001" t="s">
        <v>399</v>
      </c>
      <c r="D1001" t="s">
        <v>401</v>
      </c>
      <c r="E1001" s="17" t="s">
        <v>377</v>
      </c>
      <c r="H1001">
        <f t="shared" si="54"/>
        <v>0</v>
      </c>
      <c r="I1001">
        <v>41</v>
      </c>
      <c r="J1001">
        <f t="shared" si="53"/>
        <v>0</v>
      </c>
    </row>
    <row r="1002" spans="1:10" x14ac:dyDescent="0.2">
      <c r="A1002">
        <v>9</v>
      </c>
      <c r="B1002" s="15" t="s">
        <v>421</v>
      </c>
      <c r="C1002" t="s">
        <v>399</v>
      </c>
      <c r="D1002" t="s">
        <v>401</v>
      </c>
      <c r="E1002" s="17" t="s">
        <v>378</v>
      </c>
      <c r="H1002">
        <f t="shared" si="54"/>
        <v>0</v>
      </c>
      <c r="I1002">
        <v>41</v>
      </c>
      <c r="J1002">
        <f t="shared" si="53"/>
        <v>0</v>
      </c>
    </row>
    <row r="1003" spans="1:10" x14ac:dyDescent="0.2">
      <c r="A1003">
        <v>9</v>
      </c>
      <c r="B1003" s="15" t="s">
        <v>421</v>
      </c>
      <c r="C1003" t="s">
        <v>399</v>
      </c>
      <c r="D1003" t="s">
        <v>401</v>
      </c>
      <c r="E1003" s="17" t="s">
        <v>384</v>
      </c>
      <c r="H1003">
        <f t="shared" si="54"/>
        <v>0</v>
      </c>
      <c r="I1003">
        <v>41</v>
      </c>
      <c r="J1003">
        <f t="shared" si="53"/>
        <v>0</v>
      </c>
    </row>
    <row r="1004" spans="1:10" x14ac:dyDescent="0.2">
      <c r="A1004">
        <v>9</v>
      </c>
      <c r="B1004" s="15" t="s">
        <v>421</v>
      </c>
      <c r="C1004" t="s">
        <v>399</v>
      </c>
      <c r="D1004" t="s">
        <v>401</v>
      </c>
      <c r="E1004" s="17" t="s">
        <v>385</v>
      </c>
      <c r="H1004">
        <f t="shared" si="54"/>
        <v>0</v>
      </c>
      <c r="I1004">
        <v>41</v>
      </c>
      <c r="J1004">
        <f t="shared" si="53"/>
        <v>0</v>
      </c>
    </row>
    <row r="1005" spans="1:10" x14ac:dyDescent="0.2">
      <c r="A1005">
        <v>9</v>
      </c>
      <c r="B1005" s="15" t="s">
        <v>421</v>
      </c>
      <c r="C1005" t="s">
        <v>399</v>
      </c>
      <c r="D1005" t="s">
        <v>401</v>
      </c>
      <c r="E1005" s="17" t="s">
        <v>386</v>
      </c>
      <c r="H1005">
        <f t="shared" si="54"/>
        <v>0</v>
      </c>
      <c r="I1005">
        <v>41</v>
      </c>
      <c r="J1005">
        <f t="shared" si="53"/>
        <v>0</v>
      </c>
    </row>
    <row r="1006" spans="1:10" x14ac:dyDescent="0.2">
      <c r="A1006">
        <v>9</v>
      </c>
      <c r="B1006" s="15" t="s">
        <v>421</v>
      </c>
      <c r="C1006" t="s">
        <v>399</v>
      </c>
      <c r="D1006" t="s">
        <v>401</v>
      </c>
      <c r="E1006" s="17" t="s">
        <v>387</v>
      </c>
      <c r="H1006">
        <f t="shared" si="54"/>
        <v>0</v>
      </c>
      <c r="I1006">
        <v>41</v>
      </c>
      <c r="J1006">
        <f t="shared" si="53"/>
        <v>0</v>
      </c>
    </row>
    <row r="1007" spans="1:10" x14ac:dyDescent="0.2">
      <c r="A1007">
        <v>9</v>
      </c>
      <c r="B1007" s="15" t="s">
        <v>421</v>
      </c>
      <c r="C1007" t="s">
        <v>399</v>
      </c>
      <c r="D1007" t="s">
        <v>401</v>
      </c>
      <c r="E1007" s="17" t="s">
        <v>388</v>
      </c>
      <c r="H1007">
        <f t="shared" si="54"/>
        <v>0</v>
      </c>
      <c r="I1007">
        <v>41</v>
      </c>
      <c r="J1007">
        <f t="shared" si="53"/>
        <v>0</v>
      </c>
    </row>
    <row r="1008" spans="1:10" x14ac:dyDescent="0.2">
      <c r="A1008">
        <v>9</v>
      </c>
      <c r="B1008" s="15" t="s">
        <v>421</v>
      </c>
      <c r="C1008" t="s">
        <v>399</v>
      </c>
      <c r="D1008" t="s">
        <v>401</v>
      </c>
      <c r="E1008" s="17" t="s">
        <v>389</v>
      </c>
      <c r="H1008">
        <f t="shared" si="54"/>
        <v>0</v>
      </c>
      <c r="I1008">
        <v>41</v>
      </c>
      <c r="J1008">
        <f t="shared" si="53"/>
        <v>0</v>
      </c>
    </row>
    <row r="1009" spans="1:10" x14ac:dyDescent="0.2">
      <c r="A1009">
        <v>9</v>
      </c>
      <c r="B1009" s="15" t="s">
        <v>421</v>
      </c>
      <c r="C1009" t="s">
        <v>399</v>
      </c>
      <c r="D1009" t="s">
        <v>401</v>
      </c>
      <c r="E1009" s="17" t="s">
        <v>390</v>
      </c>
      <c r="H1009">
        <f t="shared" si="54"/>
        <v>0</v>
      </c>
      <c r="I1009">
        <v>41</v>
      </c>
      <c r="J1009">
        <f t="shared" si="53"/>
        <v>0</v>
      </c>
    </row>
    <row r="1010" spans="1:10" x14ac:dyDescent="0.2">
      <c r="A1010">
        <v>9</v>
      </c>
      <c r="B1010" s="15" t="s">
        <v>421</v>
      </c>
      <c r="C1010" t="s">
        <v>399</v>
      </c>
      <c r="D1010" t="s">
        <v>401</v>
      </c>
      <c r="E1010" s="17" t="s">
        <v>391</v>
      </c>
      <c r="H1010">
        <f t="shared" si="54"/>
        <v>0</v>
      </c>
      <c r="I1010">
        <v>41</v>
      </c>
      <c r="J1010">
        <f t="shared" si="53"/>
        <v>0</v>
      </c>
    </row>
    <row r="1011" spans="1:10" x14ac:dyDescent="0.2">
      <c r="A1011">
        <v>9</v>
      </c>
      <c r="B1011" s="15" t="s">
        <v>421</v>
      </c>
      <c r="C1011" t="s">
        <v>399</v>
      </c>
      <c r="D1011" t="s">
        <v>401</v>
      </c>
      <c r="E1011" s="17" t="s">
        <v>392</v>
      </c>
      <c r="H1011">
        <f t="shared" si="54"/>
        <v>0</v>
      </c>
      <c r="I1011">
        <v>41</v>
      </c>
      <c r="J1011">
        <f t="shared" si="53"/>
        <v>0</v>
      </c>
    </row>
    <row r="1012" spans="1:10" x14ac:dyDescent="0.2">
      <c r="A1012">
        <v>9</v>
      </c>
      <c r="B1012" s="15" t="s">
        <v>421</v>
      </c>
      <c r="C1012" t="s">
        <v>399</v>
      </c>
      <c r="D1012" t="s">
        <v>401</v>
      </c>
      <c r="E1012" s="17" t="s">
        <v>393</v>
      </c>
      <c r="H1012">
        <f t="shared" si="54"/>
        <v>0</v>
      </c>
      <c r="I1012">
        <v>41</v>
      </c>
      <c r="J1012">
        <f t="shared" si="53"/>
        <v>0</v>
      </c>
    </row>
    <row r="1013" spans="1:10" x14ac:dyDescent="0.2">
      <c r="A1013">
        <v>9</v>
      </c>
      <c r="B1013" s="15" t="s">
        <v>421</v>
      </c>
      <c r="C1013" t="s">
        <v>399</v>
      </c>
      <c r="D1013" t="s">
        <v>401</v>
      </c>
      <c r="E1013" s="17" t="s">
        <v>394</v>
      </c>
      <c r="H1013">
        <f t="shared" si="54"/>
        <v>0</v>
      </c>
      <c r="I1013">
        <v>41</v>
      </c>
      <c r="J1013">
        <f t="shared" si="53"/>
        <v>0</v>
      </c>
    </row>
    <row r="1014" spans="1:10" x14ac:dyDescent="0.2">
      <c r="A1014">
        <v>9</v>
      </c>
      <c r="B1014" s="15" t="s">
        <v>421</v>
      </c>
      <c r="C1014" t="s">
        <v>399</v>
      </c>
      <c r="D1014" t="s">
        <v>401</v>
      </c>
      <c r="E1014" s="17" t="s">
        <v>395</v>
      </c>
      <c r="H1014">
        <f t="shared" si="54"/>
        <v>0</v>
      </c>
      <c r="I1014">
        <v>41</v>
      </c>
      <c r="J1014">
        <f t="shared" si="53"/>
        <v>0</v>
      </c>
    </row>
    <row r="1015" spans="1:10" x14ac:dyDescent="0.2">
      <c r="A1015">
        <v>9</v>
      </c>
      <c r="B1015" s="15" t="s">
        <v>421</v>
      </c>
      <c r="C1015" t="s">
        <v>399</v>
      </c>
      <c r="D1015" t="s">
        <v>401</v>
      </c>
      <c r="E1015" s="17" t="s">
        <v>396</v>
      </c>
      <c r="H1015">
        <f t="shared" si="54"/>
        <v>0</v>
      </c>
      <c r="I1015">
        <v>41</v>
      </c>
      <c r="J1015">
        <f t="shared" si="53"/>
        <v>0</v>
      </c>
    </row>
    <row r="1016" spans="1:10" x14ac:dyDescent="0.2">
      <c r="A1016">
        <v>9</v>
      </c>
      <c r="B1016" s="15" t="s">
        <v>421</v>
      </c>
      <c r="C1016" t="s">
        <v>399</v>
      </c>
      <c r="D1016" t="s">
        <v>380</v>
      </c>
      <c r="E1016" s="17" t="s">
        <v>362</v>
      </c>
      <c r="H1016">
        <f t="shared" si="54"/>
        <v>0</v>
      </c>
      <c r="I1016">
        <v>41</v>
      </c>
    </row>
    <row r="1017" spans="1:10" x14ac:dyDescent="0.2">
      <c r="A1017">
        <v>9</v>
      </c>
      <c r="B1017" s="15" t="s">
        <v>421</v>
      </c>
      <c r="C1017" t="s">
        <v>399</v>
      </c>
      <c r="D1017" t="s">
        <v>380</v>
      </c>
      <c r="E1017" s="17" t="s">
        <v>363</v>
      </c>
      <c r="H1017">
        <f t="shared" si="54"/>
        <v>0</v>
      </c>
      <c r="I1017">
        <v>41</v>
      </c>
      <c r="J1017">
        <f t="shared" ref="J1017:J1045" si="55">F1017-F1016</f>
        <v>0</v>
      </c>
    </row>
    <row r="1018" spans="1:10" x14ac:dyDescent="0.2">
      <c r="A1018">
        <v>9</v>
      </c>
      <c r="B1018" s="15" t="s">
        <v>421</v>
      </c>
      <c r="C1018" t="s">
        <v>399</v>
      </c>
      <c r="D1018" t="s">
        <v>380</v>
      </c>
      <c r="E1018" s="17" t="s">
        <v>364</v>
      </c>
      <c r="H1018">
        <f t="shared" si="54"/>
        <v>0</v>
      </c>
      <c r="I1018">
        <v>41</v>
      </c>
      <c r="J1018">
        <f t="shared" si="55"/>
        <v>0</v>
      </c>
    </row>
    <row r="1019" spans="1:10" x14ac:dyDescent="0.2">
      <c r="A1019">
        <v>9</v>
      </c>
      <c r="B1019" s="15" t="s">
        <v>421</v>
      </c>
      <c r="C1019" t="s">
        <v>399</v>
      </c>
      <c r="D1019" t="s">
        <v>380</v>
      </c>
      <c r="E1019" s="17" t="s">
        <v>365</v>
      </c>
      <c r="H1019">
        <f t="shared" si="54"/>
        <v>0</v>
      </c>
      <c r="I1019">
        <v>41</v>
      </c>
      <c r="J1019">
        <f t="shared" si="55"/>
        <v>0</v>
      </c>
    </row>
    <row r="1020" spans="1:10" x14ac:dyDescent="0.2">
      <c r="A1020">
        <v>9</v>
      </c>
      <c r="B1020" s="15" t="s">
        <v>421</v>
      </c>
      <c r="C1020" t="s">
        <v>399</v>
      </c>
      <c r="D1020" t="s">
        <v>380</v>
      </c>
      <c r="E1020" s="17" t="s">
        <v>366</v>
      </c>
      <c r="H1020">
        <f t="shared" si="54"/>
        <v>0</v>
      </c>
      <c r="I1020">
        <v>41</v>
      </c>
      <c r="J1020">
        <f t="shared" si="55"/>
        <v>0</v>
      </c>
    </row>
    <row r="1021" spans="1:10" x14ac:dyDescent="0.2">
      <c r="A1021">
        <v>9</v>
      </c>
      <c r="B1021" s="15" t="s">
        <v>421</v>
      </c>
      <c r="C1021" t="s">
        <v>399</v>
      </c>
      <c r="D1021" t="s">
        <v>380</v>
      </c>
      <c r="E1021" s="17" t="s">
        <v>367</v>
      </c>
      <c r="H1021">
        <f t="shared" si="54"/>
        <v>0</v>
      </c>
      <c r="I1021">
        <v>41</v>
      </c>
      <c r="J1021">
        <f t="shared" si="55"/>
        <v>0</v>
      </c>
    </row>
    <row r="1022" spans="1:10" x14ac:dyDescent="0.2">
      <c r="A1022">
        <v>9</v>
      </c>
      <c r="B1022" s="15" t="s">
        <v>421</v>
      </c>
      <c r="C1022" t="s">
        <v>399</v>
      </c>
      <c r="D1022" t="s">
        <v>380</v>
      </c>
      <c r="E1022" s="17" t="s">
        <v>368</v>
      </c>
      <c r="H1022">
        <f t="shared" si="54"/>
        <v>0</v>
      </c>
      <c r="I1022">
        <v>41</v>
      </c>
      <c r="J1022">
        <f t="shared" si="55"/>
        <v>0</v>
      </c>
    </row>
    <row r="1023" spans="1:10" x14ac:dyDescent="0.2">
      <c r="A1023">
        <v>9</v>
      </c>
      <c r="B1023" s="15" t="s">
        <v>421</v>
      </c>
      <c r="C1023" t="s">
        <v>399</v>
      </c>
      <c r="D1023" t="s">
        <v>380</v>
      </c>
      <c r="E1023" s="17" t="s">
        <v>369</v>
      </c>
      <c r="H1023">
        <f t="shared" si="54"/>
        <v>0</v>
      </c>
      <c r="I1023">
        <v>41</v>
      </c>
      <c r="J1023">
        <f t="shared" si="55"/>
        <v>0</v>
      </c>
    </row>
    <row r="1024" spans="1:10" x14ac:dyDescent="0.2">
      <c r="A1024">
        <v>9</v>
      </c>
      <c r="B1024" s="15" t="s">
        <v>421</v>
      </c>
      <c r="C1024" t="s">
        <v>399</v>
      </c>
      <c r="D1024" t="s">
        <v>380</v>
      </c>
      <c r="E1024" s="17" t="s">
        <v>370</v>
      </c>
      <c r="H1024">
        <f t="shared" si="54"/>
        <v>0</v>
      </c>
      <c r="I1024">
        <v>41</v>
      </c>
      <c r="J1024">
        <f t="shared" si="55"/>
        <v>0</v>
      </c>
    </row>
    <row r="1025" spans="1:10" x14ac:dyDescent="0.2">
      <c r="A1025">
        <v>9</v>
      </c>
      <c r="B1025" s="15" t="s">
        <v>421</v>
      </c>
      <c r="C1025" t="s">
        <v>399</v>
      </c>
      <c r="D1025" t="s">
        <v>380</v>
      </c>
      <c r="E1025" s="17" t="s">
        <v>371</v>
      </c>
      <c r="H1025">
        <f t="shared" si="54"/>
        <v>0</v>
      </c>
      <c r="I1025">
        <v>41</v>
      </c>
      <c r="J1025">
        <f t="shared" si="55"/>
        <v>0</v>
      </c>
    </row>
    <row r="1026" spans="1:10" x14ac:dyDescent="0.2">
      <c r="A1026">
        <v>9</v>
      </c>
      <c r="B1026" s="15" t="s">
        <v>421</v>
      </c>
      <c r="C1026" t="s">
        <v>399</v>
      </c>
      <c r="D1026" t="s">
        <v>380</v>
      </c>
      <c r="E1026" s="17" t="s">
        <v>372</v>
      </c>
      <c r="H1026">
        <f t="shared" si="54"/>
        <v>0</v>
      </c>
      <c r="I1026">
        <v>41</v>
      </c>
      <c r="J1026">
        <f t="shared" si="55"/>
        <v>0</v>
      </c>
    </row>
    <row r="1027" spans="1:10" x14ac:dyDescent="0.2">
      <c r="A1027">
        <v>9</v>
      </c>
      <c r="B1027" s="15" t="s">
        <v>421</v>
      </c>
      <c r="C1027" t="s">
        <v>399</v>
      </c>
      <c r="D1027" t="s">
        <v>380</v>
      </c>
      <c r="E1027" s="17" t="s">
        <v>373</v>
      </c>
      <c r="H1027">
        <f t="shared" si="54"/>
        <v>0</v>
      </c>
      <c r="I1027">
        <v>41</v>
      </c>
      <c r="J1027">
        <f t="shared" si="55"/>
        <v>0</v>
      </c>
    </row>
    <row r="1028" spans="1:10" x14ac:dyDescent="0.2">
      <c r="A1028">
        <v>9</v>
      </c>
      <c r="B1028" s="15" t="s">
        <v>421</v>
      </c>
      <c r="C1028" t="s">
        <v>399</v>
      </c>
      <c r="D1028" t="s">
        <v>380</v>
      </c>
      <c r="E1028" s="17" t="s">
        <v>374</v>
      </c>
      <c r="H1028">
        <f t="shared" si="54"/>
        <v>0</v>
      </c>
      <c r="I1028">
        <v>41</v>
      </c>
      <c r="J1028">
        <f t="shared" si="55"/>
        <v>0</v>
      </c>
    </row>
    <row r="1029" spans="1:10" x14ac:dyDescent="0.2">
      <c r="A1029">
        <v>9</v>
      </c>
      <c r="B1029" s="15" t="s">
        <v>421</v>
      </c>
      <c r="C1029" t="s">
        <v>399</v>
      </c>
      <c r="D1029" t="s">
        <v>380</v>
      </c>
      <c r="E1029" s="17" t="s">
        <v>375</v>
      </c>
      <c r="H1029">
        <f t="shared" si="54"/>
        <v>0</v>
      </c>
      <c r="I1029">
        <v>41</v>
      </c>
      <c r="J1029">
        <f t="shared" si="55"/>
        <v>0</v>
      </c>
    </row>
    <row r="1030" spans="1:10" x14ac:dyDescent="0.2">
      <c r="A1030">
        <v>9</v>
      </c>
      <c r="B1030" s="15" t="s">
        <v>421</v>
      </c>
      <c r="C1030" t="s">
        <v>399</v>
      </c>
      <c r="D1030" t="s">
        <v>380</v>
      </c>
      <c r="E1030" s="17" t="s">
        <v>376</v>
      </c>
      <c r="H1030">
        <f t="shared" si="54"/>
        <v>0</v>
      </c>
      <c r="I1030">
        <v>41</v>
      </c>
      <c r="J1030">
        <f t="shared" si="55"/>
        <v>0</v>
      </c>
    </row>
    <row r="1031" spans="1:10" x14ac:dyDescent="0.2">
      <c r="A1031">
        <v>9</v>
      </c>
      <c r="B1031" s="15" t="s">
        <v>421</v>
      </c>
      <c r="C1031" t="s">
        <v>399</v>
      </c>
      <c r="D1031" t="s">
        <v>380</v>
      </c>
      <c r="E1031" s="17" t="s">
        <v>377</v>
      </c>
      <c r="H1031">
        <f t="shared" si="54"/>
        <v>0</v>
      </c>
      <c r="I1031">
        <v>41</v>
      </c>
      <c r="J1031">
        <f t="shared" si="55"/>
        <v>0</v>
      </c>
    </row>
    <row r="1032" spans="1:10" x14ac:dyDescent="0.2">
      <c r="A1032">
        <v>9</v>
      </c>
      <c r="B1032" s="15" t="s">
        <v>421</v>
      </c>
      <c r="C1032" t="s">
        <v>399</v>
      </c>
      <c r="D1032" t="s">
        <v>380</v>
      </c>
      <c r="E1032" s="17" t="s">
        <v>378</v>
      </c>
      <c r="H1032">
        <f t="shared" si="54"/>
        <v>0</v>
      </c>
      <c r="I1032">
        <v>41</v>
      </c>
      <c r="J1032">
        <f t="shared" si="55"/>
        <v>0</v>
      </c>
    </row>
    <row r="1033" spans="1:10" x14ac:dyDescent="0.2">
      <c r="A1033">
        <v>9</v>
      </c>
      <c r="B1033" s="15" t="s">
        <v>421</v>
      </c>
      <c r="C1033" t="s">
        <v>399</v>
      </c>
      <c r="D1033" t="s">
        <v>380</v>
      </c>
      <c r="E1033" s="17" t="s">
        <v>384</v>
      </c>
      <c r="H1033">
        <f t="shared" si="54"/>
        <v>0</v>
      </c>
      <c r="I1033">
        <v>41</v>
      </c>
      <c r="J1033">
        <f t="shared" si="55"/>
        <v>0</v>
      </c>
    </row>
    <row r="1034" spans="1:10" x14ac:dyDescent="0.2">
      <c r="A1034">
        <v>9</v>
      </c>
      <c r="B1034" s="15" t="s">
        <v>421</v>
      </c>
      <c r="C1034" t="s">
        <v>399</v>
      </c>
      <c r="D1034" t="s">
        <v>380</v>
      </c>
      <c r="E1034" s="17" t="s">
        <v>385</v>
      </c>
      <c r="H1034">
        <f t="shared" si="54"/>
        <v>0</v>
      </c>
      <c r="I1034">
        <v>41</v>
      </c>
      <c r="J1034">
        <f t="shared" si="55"/>
        <v>0</v>
      </c>
    </row>
    <row r="1035" spans="1:10" x14ac:dyDescent="0.2">
      <c r="A1035">
        <v>9</v>
      </c>
      <c r="B1035" s="15" t="s">
        <v>421</v>
      </c>
      <c r="C1035" t="s">
        <v>399</v>
      </c>
      <c r="D1035" t="s">
        <v>380</v>
      </c>
      <c r="E1035" s="17" t="s">
        <v>386</v>
      </c>
      <c r="H1035">
        <f t="shared" si="54"/>
        <v>0</v>
      </c>
      <c r="I1035">
        <v>41</v>
      </c>
      <c r="J1035">
        <f t="shared" si="55"/>
        <v>0</v>
      </c>
    </row>
    <row r="1036" spans="1:10" x14ac:dyDescent="0.2">
      <c r="A1036">
        <v>9</v>
      </c>
      <c r="B1036" s="15" t="s">
        <v>421</v>
      </c>
      <c r="C1036" t="s">
        <v>399</v>
      </c>
      <c r="D1036" t="s">
        <v>380</v>
      </c>
      <c r="E1036" s="17" t="s">
        <v>387</v>
      </c>
      <c r="H1036">
        <f t="shared" si="54"/>
        <v>0</v>
      </c>
      <c r="I1036">
        <v>41</v>
      </c>
      <c r="J1036">
        <f t="shared" si="55"/>
        <v>0</v>
      </c>
    </row>
    <row r="1037" spans="1:10" x14ac:dyDescent="0.2">
      <c r="A1037">
        <v>9</v>
      </c>
      <c r="B1037" s="15" t="s">
        <v>421</v>
      </c>
      <c r="C1037" t="s">
        <v>399</v>
      </c>
      <c r="D1037" t="s">
        <v>380</v>
      </c>
      <c r="E1037" s="17" t="s">
        <v>388</v>
      </c>
      <c r="H1037">
        <f t="shared" si="54"/>
        <v>0</v>
      </c>
      <c r="I1037">
        <v>41</v>
      </c>
      <c r="J1037">
        <f t="shared" si="55"/>
        <v>0</v>
      </c>
    </row>
    <row r="1038" spans="1:10" x14ac:dyDescent="0.2">
      <c r="A1038">
        <v>9</v>
      </c>
      <c r="B1038" s="15" t="s">
        <v>421</v>
      </c>
      <c r="C1038" t="s">
        <v>399</v>
      </c>
      <c r="D1038" t="s">
        <v>380</v>
      </c>
      <c r="E1038" s="17" t="s">
        <v>389</v>
      </c>
      <c r="H1038">
        <f t="shared" si="54"/>
        <v>0</v>
      </c>
      <c r="I1038">
        <v>41</v>
      </c>
      <c r="J1038">
        <f t="shared" si="55"/>
        <v>0</v>
      </c>
    </row>
    <row r="1039" spans="1:10" x14ac:dyDescent="0.2">
      <c r="A1039">
        <v>9</v>
      </c>
      <c r="B1039" s="15" t="s">
        <v>421</v>
      </c>
      <c r="C1039" t="s">
        <v>399</v>
      </c>
      <c r="D1039" t="s">
        <v>380</v>
      </c>
      <c r="E1039" s="17" t="s">
        <v>390</v>
      </c>
      <c r="H1039">
        <f t="shared" si="54"/>
        <v>0</v>
      </c>
      <c r="I1039">
        <v>41</v>
      </c>
      <c r="J1039">
        <f t="shared" si="55"/>
        <v>0</v>
      </c>
    </row>
    <row r="1040" spans="1:10" x14ac:dyDescent="0.2">
      <c r="A1040">
        <v>9</v>
      </c>
      <c r="B1040" s="15" t="s">
        <v>421</v>
      </c>
      <c r="C1040" t="s">
        <v>399</v>
      </c>
      <c r="D1040" t="s">
        <v>380</v>
      </c>
      <c r="E1040" s="17" t="s">
        <v>391</v>
      </c>
      <c r="H1040">
        <f t="shared" si="54"/>
        <v>0</v>
      </c>
      <c r="I1040">
        <v>41</v>
      </c>
      <c r="J1040">
        <f t="shared" si="55"/>
        <v>0</v>
      </c>
    </row>
    <row r="1041" spans="1:10" x14ac:dyDescent="0.2">
      <c r="A1041">
        <v>9</v>
      </c>
      <c r="B1041" s="15" t="s">
        <v>421</v>
      </c>
      <c r="C1041" t="s">
        <v>399</v>
      </c>
      <c r="D1041" t="s">
        <v>380</v>
      </c>
      <c r="E1041" s="17" t="s">
        <v>392</v>
      </c>
      <c r="H1041">
        <f t="shared" si="54"/>
        <v>0</v>
      </c>
      <c r="I1041">
        <v>41</v>
      </c>
      <c r="J1041">
        <f t="shared" si="55"/>
        <v>0</v>
      </c>
    </row>
    <row r="1042" spans="1:10" x14ac:dyDescent="0.2">
      <c r="A1042">
        <v>9</v>
      </c>
      <c r="B1042" s="15" t="s">
        <v>421</v>
      </c>
      <c r="C1042" t="s">
        <v>399</v>
      </c>
      <c r="D1042" t="s">
        <v>380</v>
      </c>
      <c r="E1042" s="17" t="s">
        <v>393</v>
      </c>
      <c r="H1042">
        <f t="shared" si="54"/>
        <v>0</v>
      </c>
      <c r="I1042">
        <v>41</v>
      </c>
      <c r="J1042">
        <f t="shared" si="55"/>
        <v>0</v>
      </c>
    </row>
    <row r="1043" spans="1:10" x14ac:dyDescent="0.2">
      <c r="A1043">
        <v>9</v>
      </c>
      <c r="B1043" s="15" t="s">
        <v>421</v>
      </c>
      <c r="C1043" t="s">
        <v>399</v>
      </c>
      <c r="D1043" t="s">
        <v>380</v>
      </c>
      <c r="E1043" s="17" t="s">
        <v>394</v>
      </c>
      <c r="H1043">
        <f t="shared" si="54"/>
        <v>0</v>
      </c>
      <c r="I1043">
        <v>41</v>
      </c>
      <c r="J1043">
        <f t="shared" si="55"/>
        <v>0</v>
      </c>
    </row>
    <row r="1044" spans="1:10" x14ac:dyDescent="0.2">
      <c r="A1044">
        <v>9</v>
      </c>
      <c r="B1044" s="15" t="s">
        <v>421</v>
      </c>
      <c r="C1044" t="s">
        <v>399</v>
      </c>
      <c r="D1044" t="s">
        <v>380</v>
      </c>
      <c r="E1044" s="17" t="s">
        <v>395</v>
      </c>
      <c r="H1044">
        <f t="shared" si="54"/>
        <v>0</v>
      </c>
      <c r="I1044">
        <v>41</v>
      </c>
      <c r="J1044">
        <f t="shared" si="55"/>
        <v>0</v>
      </c>
    </row>
    <row r="1045" spans="1:10" x14ac:dyDescent="0.2">
      <c r="A1045">
        <v>9</v>
      </c>
      <c r="B1045" s="15" t="s">
        <v>421</v>
      </c>
      <c r="C1045" t="s">
        <v>399</v>
      </c>
      <c r="D1045" t="s">
        <v>380</v>
      </c>
      <c r="E1045" s="17" t="s">
        <v>396</v>
      </c>
      <c r="H1045">
        <f t="shared" si="54"/>
        <v>0</v>
      </c>
      <c r="I1045">
        <v>41</v>
      </c>
      <c r="J1045">
        <f t="shared" si="55"/>
        <v>0</v>
      </c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6"/>
  <sheetViews>
    <sheetView workbookViewId="0">
      <selection activeCell="C5" sqref="C5"/>
    </sheetView>
  </sheetViews>
  <sheetFormatPr defaultRowHeight="12.75" x14ac:dyDescent="0.2"/>
  <sheetData>
    <row r="1" spans="1:3" x14ac:dyDescent="0.2">
      <c r="A1" t="s">
        <v>343</v>
      </c>
      <c r="B1" t="s">
        <v>344</v>
      </c>
      <c r="C1" t="s">
        <v>345</v>
      </c>
    </row>
    <row r="2" spans="1:3" x14ac:dyDescent="0.2">
      <c r="A2">
        <v>3</v>
      </c>
      <c r="B2">
        <v>4</v>
      </c>
      <c r="C2" t="s">
        <v>346</v>
      </c>
    </row>
    <row r="3" spans="1:3" x14ac:dyDescent="0.2">
      <c r="A3">
        <v>2</v>
      </c>
      <c r="B3">
        <v>4</v>
      </c>
      <c r="C3" t="s">
        <v>346</v>
      </c>
    </row>
    <row r="4" spans="1:3" x14ac:dyDescent="0.2">
      <c r="A4">
        <v>4</v>
      </c>
      <c r="B4">
        <v>1</v>
      </c>
      <c r="C4" t="s">
        <v>347</v>
      </c>
    </row>
    <row r="5" spans="1:3" x14ac:dyDescent="0.2">
      <c r="A5">
        <v>3</v>
      </c>
      <c r="B5">
        <v>1</v>
      </c>
      <c r="C5" t="s">
        <v>348</v>
      </c>
    </row>
    <row r="6" spans="1:3" x14ac:dyDescent="0.2">
      <c r="A6">
        <v>2</v>
      </c>
      <c r="B6">
        <v>1</v>
      </c>
      <c r="C6" t="s">
        <v>348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3"/>
  <sheetViews>
    <sheetView workbookViewId="0">
      <selection activeCell="M11" sqref="M11"/>
    </sheetView>
  </sheetViews>
  <sheetFormatPr defaultRowHeight="12.75" x14ac:dyDescent="0.2"/>
  <cols>
    <col min="1" max="1" width="13.140625" bestFit="1" customWidth="1"/>
    <col min="2" max="2" width="9.140625" style="17"/>
  </cols>
  <sheetData>
    <row r="1" spans="1:8" x14ac:dyDescent="0.2">
      <c r="C1" s="31" t="s">
        <v>382</v>
      </c>
      <c r="D1" s="31"/>
      <c r="E1" s="31"/>
      <c r="F1" s="31"/>
      <c r="G1" s="31"/>
      <c r="H1" s="31"/>
    </row>
    <row r="2" spans="1:8" x14ac:dyDescent="0.2">
      <c r="A2" s="17"/>
      <c r="C2" s="31" t="s">
        <v>379</v>
      </c>
      <c r="D2" s="31"/>
      <c r="E2" s="31"/>
      <c r="F2" s="31" t="s">
        <v>381</v>
      </c>
      <c r="G2" s="31"/>
      <c r="H2" s="31"/>
    </row>
    <row r="3" spans="1:8" x14ac:dyDescent="0.2">
      <c r="A3" s="16" t="s">
        <v>398</v>
      </c>
      <c r="B3" s="16" t="s">
        <v>397</v>
      </c>
      <c r="C3" s="17" t="s">
        <v>359</v>
      </c>
      <c r="D3" s="17" t="s">
        <v>360</v>
      </c>
      <c r="E3" s="17" t="s">
        <v>361</v>
      </c>
      <c r="F3" s="17" t="s">
        <v>359</v>
      </c>
      <c r="G3" s="17" t="s">
        <v>360</v>
      </c>
      <c r="H3" s="17" t="s">
        <v>361</v>
      </c>
    </row>
    <row r="4" spans="1:8" x14ac:dyDescent="0.2">
      <c r="A4" s="15" t="s">
        <v>383</v>
      </c>
      <c r="B4" s="17" t="s">
        <v>362</v>
      </c>
      <c r="C4">
        <v>89361</v>
      </c>
      <c r="D4">
        <v>89355</v>
      </c>
      <c r="E4">
        <f>C4-D4</f>
        <v>6</v>
      </c>
      <c r="F4">
        <v>92046</v>
      </c>
      <c r="G4">
        <v>92091</v>
      </c>
      <c r="H4">
        <f>F4-G4</f>
        <v>-45</v>
      </c>
    </row>
    <row r="5" spans="1:8" x14ac:dyDescent="0.2">
      <c r="A5" t="s">
        <v>161</v>
      </c>
      <c r="B5" s="17" t="s">
        <v>363</v>
      </c>
      <c r="C5">
        <v>100792</v>
      </c>
      <c r="D5">
        <v>100759</v>
      </c>
      <c r="E5">
        <f t="shared" ref="E5:E33" si="0">C5-D5</f>
        <v>33</v>
      </c>
      <c r="F5">
        <v>103460</v>
      </c>
      <c r="G5">
        <v>103504</v>
      </c>
      <c r="H5">
        <f t="shared" ref="H5:H33" si="1">F5-G5</f>
        <v>-44</v>
      </c>
    </row>
    <row r="6" spans="1:8" x14ac:dyDescent="0.2">
      <c r="A6" t="s">
        <v>161</v>
      </c>
      <c r="B6" s="17" t="s">
        <v>364</v>
      </c>
      <c r="C6">
        <v>112323</v>
      </c>
      <c r="D6">
        <v>112274</v>
      </c>
      <c r="E6">
        <f t="shared" si="0"/>
        <v>49</v>
      </c>
      <c r="F6">
        <v>114966</v>
      </c>
      <c r="G6">
        <v>115005</v>
      </c>
      <c r="H6">
        <f t="shared" si="1"/>
        <v>-39</v>
      </c>
    </row>
    <row r="7" spans="1:8" x14ac:dyDescent="0.2">
      <c r="A7" t="s">
        <v>161</v>
      </c>
      <c r="B7" s="17" t="s">
        <v>365</v>
      </c>
      <c r="C7">
        <v>123828</v>
      </c>
      <c r="D7">
        <v>123795</v>
      </c>
      <c r="E7">
        <f t="shared" si="0"/>
        <v>33</v>
      </c>
      <c r="F7">
        <v>126471</v>
      </c>
      <c r="G7">
        <v>126513</v>
      </c>
      <c r="H7">
        <f t="shared" si="1"/>
        <v>-42</v>
      </c>
    </row>
    <row r="8" spans="1:8" x14ac:dyDescent="0.2">
      <c r="A8" t="s">
        <v>161</v>
      </c>
      <c r="B8" s="17" t="s">
        <v>366</v>
      </c>
      <c r="C8">
        <v>135325</v>
      </c>
      <c r="D8">
        <v>135284</v>
      </c>
      <c r="E8">
        <f t="shared" si="0"/>
        <v>41</v>
      </c>
      <c r="F8">
        <v>137999</v>
      </c>
      <c r="G8">
        <v>138039</v>
      </c>
      <c r="H8">
        <f t="shared" si="1"/>
        <v>-40</v>
      </c>
    </row>
    <row r="9" spans="1:8" x14ac:dyDescent="0.2">
      <c r="A9" t="s">
        <v>161</v>
      </c>
      <c r="B9" s="17" t="s">
        <v>367</v>
      </c>
      <c r="C9">
        <v>146845</v>
      </c>
      <c r="D9">
        <v>146800</v>
      </c>
      <c r="E9">
        <f t="shared" si="0"/>
        <v>45</v>
      </c>
      <c r="F9">
        <v>149493</v>
      </c>
      <c r="G9">
        <v>149536</v>
      </c>
      <c r="H9">
        <f t="shared" si="1"/>
        <v>-43</v>
      </c>
    </row>
    <row r="10" spans="1:8" x14ac:dyDescent="0.2">
      <c r="A10" t="s">
        <v>161</v>
      </c>
      <c r="B10" s="17" t="s">
        <v>368</v>
      </c>
      <c r="C10">
        <v>158374</v>
      </c>
      <c r="D10">
        <v>158333</v>
      </c>
      <c r="E10">
        <f t="shared" si="0"/>
        <v>41</v>
      </c>
      <c r="F10">
        <v>161023</v>
      </c>
      <c r="G10">
        <v>161064</v>
      </c>
      <c r="H10">
        <f t="shared" si="1"/>
        <v>-41</v>
      </c>
    </row>
    <row r="11" spans="1:8" x14ac:dyDescent="0.2">
      <c r="A11" t="s">
        <v>161</v>
      </c>
      <c r="B11" s="17" t="s">
        <v>369</v>
      </c>
      <c r="C11">
        <v>169856</v>
      </c>
      <c r="D11">
        <v>169790</v>
      </c>
      <c r="E11">
        <f t="shared" si="0"/>
        <v>66</v>
      </c>
      <c r="F11">
        <v>172482</v>
      </c>
      <c r="G11">
        <v>172529</v>
      </c>
      <c r="H11">
        <f t="shared" si="1"/>
        <v>-47</v>
      </c>
    </row>
    <row r="12" spans="1:8" x14ac:dyDescent="0.2">
      <c r="A12" t="s">
        <v>161</v>
      </c>
      <c r="B12" s="17" t="s">
        <v>370</v>
      </c>
      <c r="C12">
        <v>181297</v>
      </c>
      <c r="D12">
        <v>181257</v>
      </c>
      <c r="E12">
        <f t="shared" si="0"/>
        <v>40</v>
      </c>
      <c r="F12">
        <v>183945</v>
      </c>
      <c r="G12">
        <v>183985</v>
      </c>
      <c r="H12">
        <f t="shared" si="1"/>
        <v>-40</v>
      </c>
    </row>
    <row r="13" spans="1:8" x14ac:dyDescent="0.2">
      <c r="A13" t="s">
        <v>161</v>
      </c>
      <c r="B13" s="17" t="s">
        <v>371</v>
      </c>
      <c r="C13">
        <v>192751</v>
      </c>
      <c r="D13">
        <v>192722</v>
      </c>
      <c r="E13">
        <f t="shared" si="0"/>
        <v>29</v>
      </c>
      <c r="F13">
        <v>195412</v>
      </c>
      <c r="G13">
        <v>195451</v>
      </c>
      <c r="H13">
        <f t="shared" si="1"/>
        <v>-39</v>
      </c>
    </row>
    <row r="14" spans="1:8" x14ac:dyDescent="0.2">
      <c r="A14" t="s">
        <v>161</v>
      </c>
      <c r="B14" s="17" t="s">
        <v>372</v>
      </c>
      <c r="C14">
        <v>204210</v>
      </c>
      <c r="D14">
        <v>204160</v>
      </c>
      <c r="E14">
        <f t="shared" si="0"/>
        <v>50</v>
      </c>
      <c r="F14">
        <v>206861</v>
      </c>
      <c r="G14">
        <v>206897</v>
      </c>
      <c r="H14">
        <f t="shared" si="1"/>
        <v>-36</v>
      </c>
    </row>
    <row r="15" spans="1:8" x14ac:dyDescent="0.2">
      <c r="A15" t="s">
        <v>161</v>
      </c>
      <c r="B15" s="17" t="s">
        <v>373</v>
      </c>
      <c r="C15">
        <v>215642</v>
      </c>
      <c r="D15">
        <v>215606</v>
      </c>
      <c r="E15">
        <f t="shared" si="0"/>
        <v>36</v>
      </c>
      <c r="F15">
        <v>218288</v>
      </c>
      <c r="G15">
        <v>218329</v>
      </c>
      <c r="H15">
        <f t="shared" si="1"/>
        <v>-41</v>
      </c>
    </row>
    <row r="16" spans="1:8" x14ac:dyDescent="0.2">
      <c r="A16" t="s">
        <v>161</v>
      </c>
      <c r="B16" s="17" t="s">
        <v>374</v>
      </c>
      <c r="C16">
        <v>249820</v>
      </c>
      <c r="D16">
        <v>249779</v>
      </c>
      <c r="E16">
        <f t="shared" si="0"/>
        <v>41</v>
      </c>
      <c r="F16">
        <v>241099</v>
      </c>
      <c r="G16">
        <v>241139</v>
      </c>
      <c r="H16">
        <f t="shared" si="1"/>
        <v>-40</v>
      </c>
    </row>
    <row r="17" spans="1:8" x14ac:dyDescent="0.2">
      <c r="A17" t="s">
        <v>161</v>
      </c>
      <c r="B17" s="17" t="s">
        <v>375</v>
      </c>
      <c r="C17">
        <v>261175</v>
      </c>
      <c r="D17">
        <v>261140</v>
      </c>
      <c r="E17">
        <f t="shared" si="0"/>
        <v>35</v>
      </c>
      <c r="F17">
        <v>252459</v>
      </c>
      <c r="G17">
        <v>252504</v>
      </c>
      <c r="H17">
        <f t="shared" si="1"/>
        <v>-45</v>
      </c>
    </row>
    <row r="18" spans="1:8" x14ac:dyDescent="0.2">
      <c r="A18" t="s">
        <v>161</v>
      </c>
      <c r="B18" s="17" t="s">
        <v>376</v>
      </c>
      <c r="C18">
        <v>261175</v>
      </c>
      <c r="D18">
        <v>261143</v>
      </c>
      <c r="E18">
        <f t="shared" si="0"/>
        <v>32</v>
      </c>
      <c r="F18">
        <v>263826</v>
      </c>
      <c r="G18">
        <v>263870</v>
      </c>
      <c r="H18">
        <f t="shared" si="1"/>
        <v>-44</v>
      </c>
    </row>
    <row r="19" spans="1:8" x14ac:dyDescent="0.2">
      <c r="A19" t="s">
        <v>161</v>
      </c>
      <c r="B19" s="17" t="s">
        <v>377</v>
      </c>
      <c r="C19">
        <v>272549</v>
      </c>
      <c r="D19">
        <v>272516</v>
      </c>
      <c r="E19">
        <f t="shared" si="0"/>
        <v>33</v>
      </c>
      <c r="F19">
        <v>275205</v>
      </c>
      <c r="G19">
        <v>275246</v>
      </c>
      <c r="H19">
        <f t="shared" si="1"/>
        <v>-41</v>
      </c>
    </row>
    <row r="20" spans="1:8" x14ac:dyDescent="0.2">
      <c r="A20" t="s">
        <v>161</v>
      </c>
      <c r="B20" s="17" t="s">
        <v>378</v>
      </c>
      <c r="C20">
        <v>283987</v>
      </c>
      <c r="D20">
        <v>283924</v>
      </c>
      <c r="E20">
        <f t="shared" si="0"/>
        <v>63</v>
      </c>
      <c r="F20">
        <v>286613</v>
      </c>
      <c r="G20">
        <v>286656</v>
      </c>
      <c r="H20">
        <f t="shared" si="1"/>
        <v>-43</v>
      </c>
    </row>
    <row r="21" spans="1:8" x14ac:dyDescent="0.2">
      <c r="A21" t="s">
        <v>161</v>
      </c>
      <c r="B21" s="17" t="s">
        <v>384</v>
      </c>
      <c r="C21">
        <v>295293</v>
      </c>
      <c r="D21">
        <v>295251</v>
      </c>
      <c r="E21">
        <f t="shared" si="0"/>
        <v>42</v>
      </c>
      <c r="F21">
        <v>297952</v>
      </c>
      <c r="G21">
        <v>297993</v>
      </c>
      <c r="H21">
        <f t="shared" si="1"/>
        <v>-41</v>
      </c>
    </row>
    <row r="22" spans="1:8" x14ac:dyDescent="0.2">
      <c r="A22" t="s">
        <v>161</v>
      </c>
      <c r="B22" s="17" t="s">
        <v>385</v>
      </c>
      <c r="C22">
        <v>306673</v>
      </c>
      <c r="D22">
        <v>306611</v>
      </c>
      <c r="E22">
        <f t="shared" si="0"/>
        <v>62</v>
      </c>
      <c r="F22">
        <v>309299</v>
      </c>
      <c r="G22">
        <v>309342</v>
      </c>
      <c r="H22">
        <f t="shared" si="1"/>
        <v>-43</v>
      </c>
    </row>
    <row r="23" spans="1:8" x14ac:dyDescent="0.2">
      <c r="A23" t="s">
        <v>161</v>
      </c>
      <c r="B23" s="17" t="s">
        <v>386</v>
      </c>
      <c r="C23">
        <v>317977</v>
      </c>
      <c r="D23">
        <v>317939</v>
      </c>
      <c r="E23">
        <f t="shared" si="0"/>
        <v>38</v>
      </c>
      <c r="F23">
        <v>320626</v>
      </c>
      <c r="G23">
        <v>320668</v>
      </c>
      <c r="H23">
        <f t="shared" si="1"/>
        <v>-42</v>
      </c>
    </row>
    <row r="24" spans="1:8" x14ac:dyDescent="0.2">
      <c r="A24" t="s">
        <v>161</v>
      </c>
      <c r="B24" s="17" t="s">
        <v>387</v>
      </c>
      <c r="C24">
        <v>340615</v>
      </c>
      <c r="D24">
        <v>340561</v>
      </c>
      <c r="E24">
        <f t="shared" si="0"/>
        <v>54</v>
      </c>
      <c r="F24">
        <v>343254</v>
      </c>
      <c r="G24">
        <v>343289</v>
      </c>
      <c r="H24">
        <f t="shared" si="1"/>
        <v>-35</v>
      </c>
    </row>
    <row r="25" spans="1:8" x14ac:dyDescent="0.2">
      <c r="A25" t="s">
        <v>161</v>
      </c>
      <c r="B25" s="17" t="s">
        <v>388</v>
      </c>
      <c r="C25">
        <v>351917</v>
      </c>
      <c r="D25">
        <v>351868</v>
      </c>
      <c r="E25">
        <f t="shared" si="0"/>
        <v>49</v>
      </c>
      <c r="F25">
        <v>354560</v>
      </c>
      <c r="G25">
        <v>354600</v>
      </c>
      <c r="H25">
        <f t="shared" si="1"/>
        <v>-40</v>
      </c>
    </row>
    <row r="26" spans="1:8" x14ac:dyDescent="0.2">
      <c r="A26" t="s">
        <v>161</v>
      </c>
      <c r="B26" s="17" t="s">
        <v>389</v>
      </c>
      <c r="C26">
        <v>363327</v>
      </c>
      <c r="D26">
        <v>363267</v>
      </c>
      <c r="E26">
        <f t="shared" si="0"/>
        <v>60</v>
      </c>
      <c r="F26">
        <v>365965</v>
      </c>
      <c r="G26">
        <v>366009</v>
      </c>
      <c r="H26">
        <f t="shared" si="1"/>
        <v>-44</v>
      </c>
    </row>
    <row r="27" spans="1:8" x14ac:dyDescent="0.2">
      <c r="A27" t="s">
        <v>161</v>
      </c>
      <c r="B27" s="17" t="s">
        <v>390</v>
      </c>
      <c r="C27">
        <v>374607</v>
      </c>
      <c r="D27">
        <v>374569</v>
      </c>
      <c r="E27">
        <f t="shared" si="0"/>
        <v>38</v>
      </c>
      <c r="F27">
        <v>377264</v>
      </c>
      <c r="G27">
        <v>377309</v>
      </c>
      <c r="H27">
        <f t="shared" si="1"/>
        <v>-45</v>
      </c>
    </row>
    <row r="28" spans="1:8" x14ac:dyDescent="0.2">
      <c r="A28" t="s">
        <v>161</v>
      </c>
      <c r="B28" s="17" t="s">
        <v>391</v>
      </c>
      <c r="C28">
        <v>385963</v>
      </c>
      <c r="D28">
        <v>385896</v>
      </c>
      <c r="E28">
        <f t="shared" si="0"/>
        <v>67</v>
      </c>
      <c r="F28">
        <v>388603</v>
      </c>
      <c r="G28">
        <v>388647</v>
      </c>
      <c r="H28">
        <f t="shared" si="1"/>
        <v>-44</v>
      </c>
    </row>
    <row r="29" spans="1:8" x14ac:dyDescent="0.2">
      <c r="A29" t="s">
        <v>161</v>
      </c>
      <c r="B29" s="17" t="s">
        <v>392</v>
      </c>
      <c r="C29">
        <v>397356</v>
      </c>
      <c r="D29">
        <v>397311</v>
      </c>
      <c r="E29">
        <f t="shared" si="0"/>
        <v>45</v>
      </c>
      <c r="F29">
        <v>399982</v>
      </c>
      <c r="G29">
        <v>400027</v>
      </c>
      <c r="H29">
        <f t="shared" si="1"/>
        <v>-45</v>
      </c>
    </row>
    <row r="30" spans="1:8" x14ac:dyDescent="0.2">
      <c r="A30" t="s">
        <v>161</v>
      </c>
      <c r="B30" s="19" t="s">
        <v>393</v>
      </c>
      <c r="C30" s="20">
        <v>420077</v>
      </c>
      <c r="D30" s="20">
        <v>420050</v>
      </c>
      <c r="E30">
        <f t="shared" si="0"/>
        <v>27</v>
      </c>
      <c r="F30">
        <v>422745</v>
      </c>
      <c r="G30">
        <v>422788</v>
      </c>
      <c r="H30">
        <f t="shared" si="1"/>
        <v>-43</v>
      </c>
    </row>
    <row r="31" spans="1:8" x14ac:dyDescent="0.2">
      <c r="A31" t="s">
        <v>161</v>
      </c>
      <c r="B31" s="17" t="s">
        <v>394</v>
      </c>
      <c r="C31">
        <v>431436</v>
      </c>
      <c r="D31">
        <v>431380</v>
      </c>
      <c r="E31">
        <f t="shared" si="0"/>
        <v>56</v>
      </c>
      <c r="F31">
        <v>434090</v>
      </c>
      <c r="G31">
        <v>434129</v>
      </c>
      <c r="H31">
        <f t="shared" si="1"/>
        <v>-39</v>
      </c>
    </row>
    <row r="32" spans="1:8" x14ac:dyDescent="0.2">
      <c r="A32" t="s">
        <v>161</v>
      </c>
      <c r="B32" s="17" t="s">
        <v>395</v>
      </c>
      <c r="C32">
        <v>442778</v>
      </c>
      <c r="D32">
        <v>442741</v>
      </c>
      <c r="E32">
        <f t="shared" si="0"/>
        <v>37</v>
      </c>
      <c r="F32">
        <v>445433</v>
      </c>
      <c r="G32">
        <v>445481</v>
      </c>
      <c r="H32">
        <f t="shared" si="1"/>
        <v>-48</v>
      </c>
    </row>
    <row r="33" spans="1:8" x14ac:dyDescent="0.2">
      <c r="A33" t="s">
        <v>161</v>
      </c>
      <c r="B33" s="17" t="s">
        <v>396</v>
      </c>
      <c r="C33">
        <v>454301</v>
      </c>
      <c r="D33">
        <v>454253</v>
      </c>
      <c r="E33">
        <f t="shared" si="0"/>
        <v>48</v>
      </c>
      <c r="F33">
        <v>456945</v>
      </c>
      <c r="G33">
        <v>456989</v>
      </c>
      <c r="H33">
        <f t="shared" si="1"/>
        <v>-44</v>
      </c>
    </row>
  </sheetData>
  <mergeCells count="3">
    <mergeCell ref="C2:E2"/>
    <mergeCell ref="F2:H2"/>
    <mergeCell ref="C1:H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45"/>
  <sheetViews>
    <sheetView workbookViewId="0">
      <selection activeCell="A10" sqref="A10"/>
    </sheetView>
  </sheetViews>
  <sheetFormatPr defaultRowHeight="12.75" x14ac:dyDescent="0.2"/>
  <cols>
    <col min="1" max="1" width="13.7109375" bestFit="1" customWidth="1"/>
    <col min="3" max="3" width="14.140625" bestFit="1" customWidth="1"/>
    <col min="4" max="4" width="23.28515625" bestFit="1" customWidth="1"/>
    <col min="5" max="5" width="6.7109375" bestFit="1" customWidth="1"/>
    <col min="8" max="8" width="23.85546875" bestFit="1" customWidth="1"/>
    <col min="9" max="9" width="4.7109375" bestFit="1" customWidth="1"/>
  </cols>
  <sheetData>
    <row r="1" spans="1:9" x14ac:dyDescent="0.2">
      <c r="A1" t="s">
        <v>423</v>
      </c>
      <c r="B1" t="s">
        <v>424</v>
      </c>
      <c r="C1" s="15" t="s">
        <v>446</v>
      </c>
      <c r="D1" s="15" t="s">
        <v>428</v>
      </c>
      <c r="E1" t="s">
        <v>425</v>
      </c>
      <c r="H1" t="s">
        <v>429</v>
      </c>
      <c r="I1" t="s">
        <v>425</v>
      </c>
    </row>
    <row r="2" spans="1:9" x14ac:dyDescent="0.2">
      <c r="A2" t="s">
        <v>161</v>
      </c>
      <c r="B2" t="s">
        <v>401</v>
      </c>
      <c r="C2">
        <v>101</v>
      </c>
      <c r="D2" t="str">
        <f>A2&amp;"_"&amp;B2&amp;"_"&amp;C2</f>
        <v>RLK3858AST_Start_101</v>
      </c>
      <c r="E2">
        <v>6</v>
      </c>
      <c r="H2" t="s">
        <v>435</v>
      </c>
      <c r="I2" s="23">
        <f ca="1">AVERAGEIF($D:$E,H2,$E:$E)</f>
        <v>-42.93333333333333</v>
      </c>
    </row>
    <row r="3" spans="1:9" x14ac:dyDescent="0.2">
      <c r="A3" t="s">
        <v>161</v>
      </c>
      <c r="B3" t="s">
        <v>401</v>
      </c>
      <c r="C3">
        <v>101</v>
      </c>
      <c r="D3" t="str">
        <f t="shared" ref="D3:D66" si="0">A3&amp;"_"&amp;B3&amp;"_"&amp;C3</f>
        <v>RLK3858AST_Start_101</v>
      </c>
      <c r="E3">
        <v>33</v>
      </c>
      <c r="H3" t="s">
        <v>437</v>
      </c>
      <c r="I3" s="23">
        <f t="shared" ref="I3:I17" ca="1" si="1">AVERAGEIF($D:$E,H3,$E:$E)</f>
        <v>-12.4</v>
      </c>
    </row>
    <row r="4" spans="1:9" x14ac:dyDescent="0.2">
      <c r="A4" t="s">
        <v>161</v>
      </c>
      <c r="B4" t="s">
        <v>401</v>
      </c>
      <c r="C4">
        <v>101</v>
      </c>
      <c r="D4" t="str">
        <f t="shared" si="0"/>
        <v>RLK3858AST_Start_101</v>
      </c>
      <c r="E4">
        <v>49</v>
      </c>
      <c r="H4" t="s">
        <v>434</v>
      </c>
      <c r="I4" s="23">
        <f t="shared" ca="1" si="1"/>
        <v>43.06666666666667</v>
      </c>
    </row>
    <row r="5" spans="1:9" x14ac:dyDescent="0.2">
      <c r="A5" t="s">
        <v>161</v>
      </c>
      <c r="B5" t="s">
        <v>401</v>
      </c>
      <c r="C5">
        <v>101</v>
      </c>
      <c r="D5" t="str">
        <f t="shared" si="0"/>
        <v>RLK3858AST_Start_101</v>
      </c>
      <c r="E5">
        <v>33</v>
      </c>
      <c r="H5" t="s">
        <v>436</v>
      </c>
      <c r="I5" s="23">
        <f t="shared" ca="1" si="1"/>
        <v>14.033333333333333</v>
      </c>
    </row>
    <row r="6" spans="1:9" x14ac:dyDescent="0.2">
      <c r="A6" t="s">
        <v>161</v>
      </c>
      <c r="B6" t="s">
        <v>401</v>
      </c>
      <c r="C6">
        <v>101</v>
      </c>
      <c r="D6" t="str">
        <f t="shared" si="0"/>
        <v>RLK3858AST_Start_101</v>
      </c>
      <c r="E6">
        <v>41</v>
      </c>
      <c r="H6" t="s">
        <v>439</v>
      </c>
      <c r="I6" s="23">
        <f t="shared" ca="1" si="1"/>
        <v>-42.8</v>
      </c>
    </row>
    <row r="7" spans="1:9" x14ac:dyDescent="0.2">
      <c r="A7" t="s">
        <v>161</v>
      </c>
      <c r="B7" t="s">
        <v>401</v>
      </c>
      <c r="C7">
        <v>101</v>
      </c>
      <c r="D7" t="str">
        <f t="shared" si="0"/>
        <v>RLK3858AST_Start_101</v>
      </c>
      <c r="E7">
        <v>45</v>
      </c>
      <c r="H7" t="s">
        <v>441</v>
      </c>
      <c r="I7" s="23">
        <f t="shared" ca="1" si="1"/>
        <v>-13.4</v>
      </c>
    </row>
    <row r="8" spans="1:9" x14ac:dyDescent="0.2">
      <c r="A8" t="s">
        <v>161</v>
      </c>
      <c r="B8" t="s">
        <v>401</v>
      </c>
      <c r="C8">
        <v>101</v>
      </c>
      <c r="D8" t="str">
        <f t="shared" si="0"/>
        <v>RLK3858AST_Start_101</v>
      </c>
      <c r="E8">
        <v>41</v>
      </c>
      <c r="H8" t="s">
        <v>438</v>
      </c>
      <c r="I8" s="23">
        <f t="shared" ca="1" si="1"/>
        <v>42.3</v>
      </c>
    </row>
    <row r="9" spans="1:9" x14ac:dyDescent="0.2">
      <c r="A9" t="s">
        <v>161</v>
      </c>
      <c r="B9" t="s">
        <v>401</v>
      </c>
      <c r="C9">
        <v>101</v>
      </c>
      <c r="D9" t="str">
        <f t="shared" si="0"/>
        <v>RLK3858AST_Start_101</v>
      </c>
      <c r="E9">
        <v>66</v>
      </c>
      <c r="H9" t="s">
        <v>440</v>
      </c>
      <c r="I9" s="23">
        <f t="shared" ca="1" si="1"/>
        <v>15.5</v>
      </c>
    </row>
    <row r="10" spans="1:9" x14ac:dyDescent="0.2">
      <c r="A10" t="s">
        <v>161</v>
      </c>
      <c r="B10" t="s">
        <v>401</v>
      </c>
      <c r="C10">
        <v>101</v>
      </c>
      <c r="D10" t="str">
        <f t="shared" si="0"/>
        <v>RLK3858AST_Start_101</v>
      </c>
      <c r="E10">
        <v>40</v>
      </c>
      <c r="H10" t="s">
        <v>443</v>
      </c>
      <c r="I10" s="23">
        <f t="shared" ca="1" si="1"/>
        <v>-40.388888888888886</v>
      </c>
    </row>
    <row r="11" spans="1:9" x14ac:dyDescent="0.2">
      <c r="A11" t="s">
        <v>161</v>
      </c>
      <c r="B11" t="s">
        <v>401</v>
      </c>
      <c r="C11">
        <v>101</v>
      </c>
      <c r="D11" t="str">
        <f t="shared" si="0"/>
        <v>RLK3858AST_Start_101</v>
      </c>
      <c r="E11">
        <v>29</v>
      </c>
      <c r="H11" t="s">
        <v>445</v>
      </c>
      <c r="I11" s="23">
        <f t="shared" ca="1" si="1"/>
        <v>-10.555555555555555</v>
      </c>
    </row>
    <row r="12" spans="1:9" x14ac:dyDescent="0.2">
      <c r="A12" t="s">
        <v>161</v>
      </c>
      <c r="B12" t="s">
        <v>401</v>
      </c>
      <c r="C12">
        <v>101</v>
      </c>
      <c r="D12" t="str">
        <f t="shared" si="0"/>
        <v>RLK3858AST_Start_101</v>
      </c>
      <c r="E12">
        <v>50</v>
      </c>
      <c r="H12" t="s">
        <v>442</v>
      </c>
      <c r="I12" s="23">
        <f t="shared" ca="1" si="1"/>
        <v>46.5</v>
      </c>
    </row>
    <row r="13" spans="1:9" x14ac:dyDescent="0.2">
      <c r="A13" t="s">
        <v>161</v>
      </c>
      <c r="B13" t="s">
        <v>401</v>
      </c>
      <c r="C13">
        <v>101</v>
      </c>
      <c r="D13" t="str">
        <f t="shared" si="0"/>
        <v>RLK3858AST_Start_101</v>
      </c>
      <c r="E13">
        <v>36</v>
      </c>
      <c r="H13" t="s">
        <v>444</v>
      </c>
      <c r="I13" s="23">
        <f t="shared" ca="1" si="1"/>
        <v>14.055555555555555</v>
      </c>
    </row>
    <row r="14" spans="1:9" x14ac:dyDescent="0.2">
      <c r="A14" t="s">
        <v>161</v>
      </c>
      <c r="B14" t="s">
        <v>401</v>
      </c>
      <c r="C14">
        <v>101</v>
      </c>
      <c r="D14" t="str">
        <f t="shared" si="0"/>
        <v>RLK3858AST_Start_101</v>
      </c>
      <c r="E14">
        <v>56</v>
      </c>
      <c r="H14" t="s">
        <v>431</v>
      </c>
      <c r="I14" s="23">
        <f t="shared" ca="1" si="1"/>
        <v>-42.242424242424242</v>
      </c>
    </row>
    <row r="15" spans="1:9" x14ac:dyDescent="0.2">
      <c r="A15" t="s">
        <v>161</v>
      </c>
      <c r="B15" t="s">
        <v>401</v>
      </c>
      <c r="C15">
        <v>101</v>
      </c>
      <c r="D15" t="str">
        <f t="shared" si="0"/>
        <v>RLK3858AST_Start_101</v>
      </c>
      <c r="E15">
        <v>33</v>
      </c>
      <c r="H15" t="s">
        <v>433</v>
      </c>
      <c r="I15" s="23">
        <f t="shared" ca="1" si="1"/>
        <v>-10.848484848484848</v>
      </c>
    </row>
    <row r="16" spans="1:9" x14ac:dyDescent="0.2">
      <c r="A16" t="s">
        <v>161</v>
      </c>
      <c r="B16" t="s">
        <v>401</v>
      </c>
      <c r="C16">
        <v>101</v>
      </c>
      <c r="D16" t="str">
        <f t="shared" si="0"/>
        <v>RLK3858AST_Start_101</v>
      </c>
      <c r="E16">
        <v>41</v>
      </c>
      <c r="H16" t="s">
        <v>430</v>
      </c>
      <c r="I16" s="23">
        <f t="shared" ca="1" si="1"/>
        <v>42.878787878787875</v>
      </c>
    </row>
    <row r="17" spans="1:9" x14ac:dyDescent="0.2">
      <c r="A17" t="s">
        <v>161</v>
      </c>
      <c r="B17" t="s">
        <v>401</v>
      </c>
      <c r="C17">
        <v>101</v>
      </c>
      <c r="D17" t="str">
        <f t="shared" si="0"/>
        <v>RLK3858AST_Start_101</v>
      </c>
      <c r="E17">
        <v>35</v>
      </c>
      <c r="H17" t="s">
        <v>432</v>
      </c>
      <c r="I17" s="23">
        <f t="shared" ca="1" si="1"/>
        <v>20.454545454545453</v>
      </c>
    </row>
    <row r="18" spans="1:9" x14ac:dyDescent="0.2">
      <c r="A18" t="s">
        <v>161</v>
      </c>
      <c r="B18" t="s">
        <v>401</v>
      </c>
      <c r="C18">
        <v>101</v>
      </c>
      <c r="D18" t="str">
        <f t="shared" si="0"/>
        <v>RLK3858AST_Start_101</v>
      </c>
      <c r="E18">
        <v>33</v>
      </c>
    </row>
    <row r="19" spans="1:9" x14ac:dyDescent="0.2">
      <c r="A19" t="s">
        <v>161</v>
      </c>
      <c r="B19" t="s">
        <v>401</v>
      </c>
      <c r="C19">
        <v>101</v>
      </c>
      <c r="D19" t="str">
        <f t="shared" si="0"/>
        <v>RLK3858AST_Start_101</v>
      </c>
      <c r="E19">
        <v>63</v>
      </c>
    </row>
    <row r="20" spans="1:9" x14ac:dyDescent="0.2">
      <c r="A20" t="s">
        <v>161</v>
      </c>
      <c r="B20" t="s">
        <v>401</v>
      </c>
      <c r="C20">
        <v>101</v>
      </c>
      <c r="D20" t="str">
        <f t="shared" si="0"/>
        <v>RLK3858AST_Start_101</v>
      </c>
      <c r="E20">
        <v>42</v>
      </c>
    </row>
    <row r="21" spans="1:9" x14ac:dyDescent="0.2">
      <c r="A21" t="s">
        <v>161</v>
      </c>
      <c r="B21" t="s">
        <v>401</v>
      </c>
      <c r="C21">
        <v>101</v>
      </c>
      <c r="D21" t="str">
        <f t="shared" si="0"/>
        <v>RLK3858AST_Start_101</v>
      </c>
      <c r="E21">
        <v>62</v>
      </c>
    </row>
    <row r="22" spans="1:9" x14ac:dyDescent="0.2">
      <c r="A22" t="s">
        <v>161</v>
      </c>
      <c r="B22" t="s">
        <v>401</v>
      </c>
      <c r="C22">
        <v>101</v>
      </c>
      <c r="D22" t="str">
        <f t="shared" si="0"/>
        <v>RLK3858AST_Start_101</v>
      </c>
      <c r="E22">
        <v>38</v>
      </c>
    </row>
    <row r="23" spans="1:9" x14ac:dyDescent="0.2">
      <c r="A23" t="s">
        <v>161</v>
      </c>
      <c r="B23" t="s">
        <v>401</v>
      </c>
      <c r="C23">
        <v>101</v>
      </c>
      <c r="D23" t="str">
        <f t="shared" si="0"/>
        <v>RLK3858AST_Start_101</v>
      </c>
      <c r="E23">
        <v>37</v>
      </c>
    </row>
    <row r="24" spans="1:9" x14ac:dyDescent="0.2">
      <c r="A24" t="s">
        <v>161</v>
      </c>
      <c r="B24" t="s">
        <v>401</v>
      </c>
      <c r="C24">
        <v>101</v>
      </c>
      <c r="D24" t="str">
        <f t="shared" si="0"/>
        <v>RLK3858AST_Start_101</v>
      </c>
      <c r="E24">
        <v>54</v>
      </c>
    </row>
    <row r="25" spans="1:9" x14ac:dyDescent="0.2">
      <c r="A25" t="s">
        <v>161</v>
      </c>
      <c r="B25" t="s">
        <v>401</v>
      </c>
      <c r="C25">
        <v>101</v>
      </c>
      <c r="D25" t="str">
        <f t="shared" si="0"/>
        <v>RLK3858AST_Start_101</v>
      </c>
      <c r="E25">
        <v>49</v>
      </c>
    </row>
    <row r="26" spans="1:9" x14ac:dyDescent="0.2">
      <c r="A26" t="s">
        <v>161</v>
      </c>
      <c r="B26" t="s">
        <v>401</v>
      </c>
      <c r="C26">
        <v>101</v>
      </c>
      <c r="D26" t="str">
        <f t="shared" si="0"/>
        <v>RLK3858AST_Start_101</v>
      </c>
      <c r="E26">
        <v>60</v>
      </c>
    </row>
    <row r="27" spans="1:9" x14ac:dyDescent="0.2">
      <c r="A27" t="s">
        <v>161</v>
      </c>
      <c r="B27" t="s">
        <v>401</v>
      </c>
      <c r="C27">
        <v>101</v>
      </c>
      <c r="D27" t="str">
        <f t="shared" si="0"/>
        <v>RLK3858AST_Start_101</v>
      </c>
      <c r="E27">
        <v>38</v>
      </c>
    </row>
    <row r="28" spans="1:9" x14ac:dyDescent="0.2">
      <c r="A28" t="s">
        <v>161</v>
      </c>
      <c r="B28" t="s">
        <v>401</v>
      </c>
      <c r="C28">
        <v>101</v>
      </c>
      <c r="D28" t="str">
        <f t="shared" si="0"/>
        <v>RLK3858AST_Start_101</v>
      </c>
      <c r="E28">
        <v>67</v>
      </c>
    </row>
    <row r="29" spans="1:9" x14ac:dyDescent="0.2">
      <c r="A29" t="s">
        <v>161</v>
      </c>
      <c r="B29" t="s">
        <v>401</v>
      </c>
      <c r="C29">
        <v>101</v>
      </c>
      <c r="D29" t="str">
        <f t="shared" si="0"/>
        <v>RLK3858AST_Start_101</v>
      </c>
      <c r="E29">
        <v>45</v>
      </c>
    </row>
    <row r="30" spans="1:9" x14ac:dyDescent="0.2">
      <c r="A30" t="s">
        <v>161</v>
      </c>
      <c r="B30" t="s">
        <v>401</v>
      </c>
      <c r="C30">
        <v>101</v>
      </c>
      <c r="D30" t="str">
        <f t="shared" si="0"/>
        <v>RLK3858AST_Start_101</v>
      </c>
      <c r="E30">
        <v>25</v>
      </c>
    </row>
    <row r="31" spans="1:9" x14ac:dyDescent="0.2">
      <c r="A31" t="s">
        <v>161</v>
      </c>
      <c r="B31" t="s">
        <v>401</v>
      </c>
      <c r="C31">
        <v>101</v>
      </c>
      <c r="D31" t="str">
        <f t="shared" si="0"/>
        <v>RLK3858AST_Start_101</v>
      </c>
      <c r="E31">
        <v>27</v>
      </c>
    </row>
    <row r="32" spans="1:9" x14ac:dyDescent="0.2">
      <c r="A32" t="s">
        <v>161</v>
      </c>
      <c r="B32" t="s">
        <v>401</v>
      </c>
      <c r="C32">
        <v>101</v>
      </c>
      <c r="D32" t="str">
        <f t="shared" si="0"/>
        <v>RLK3858AST_Start_101</v>
      </c>
      <c r="E32">
        <v>56</v>
      </c>
    </row>
    <row r="33" spans="1:5" x14ac:dyDescent="0.2">
      <c r="A33" t="s">
        <v>161</v>
      </c>
      <c r="B33" t="s">
        <v>401</v>
      </c>
      <c r="C33">
        <v>101</v>
      </c>
      <c r="D33" t="str">
        <f t="shared" si="0"/>
        <v>RLK3858AST_Start_101</v>
      </c>
      <c r="E33">
        <v>37</v>
      </c>
    </row>
    <row r="34" spans="1:5" x14ac:dyDescent="0.2">
      <c r="A34" t="s">
        <v>161</v>
      </c>
      <c r="B34" t="s">
        <v>401</v>
      </c>
      <c r="C34">
        <v>101</v>
      </c>
      <c r="D34" t="str">
        <f t="shared" si="0"/>
        <v>RLK3858AST_Start_101</v>
      </c>
      <c r="E34">
        <v>48</v>
      </c>
    </row>
    <row r="35" spans="1:5" x14ac:dyDescent="0.2">
      <c r="A35" t="s">
        <v>161</v>
      </c>
      <c r="B35" t="s">
        <v>380</v>
      </c>
      <c r="C35">
        <v>101</v>
      </c>
      <c r="D35" t="str">
        <f t="shared" si="0"/>
        <v>RLK3858AST_End_101</v>
      </c>
      <c r="E35">
        <v>-45</v>
      </c>
    </row>
    <row r="36" spans="1:5" x14ac:dyDescent="0.2">
      <c r="A36" t="s">
        <v>161</v>
      </c>
      <c r="B36" t="s">
        <v>380</v>
      </c>
      <c r="C36">
        <v>101</v>
      </c>
      <c r="D36" t="str">
        <f t="shared" si="0"/>
        <v>RLK3858AST_End_101</v>
      </c>
      <c r="E36">
        <v>-44</v>
      </c>
    </row>
    <row r="37" spans="1:5" x14ac:dyDescent="0.2">
      <c r="A37" t="s">
        <v>161</v>
      </c>
      <c r="B37" t="s">
        <v>380</v>
      </c>
      <c r="C37">
        <v>101</v>
      </c>
      <c r="D37" t="str">
        <f t="shared" si="0"/>
        <v>RLK3858AST_End_101</v>
      </c>
      <c r="E37">
        <v>-39</v>
      </c>
    </row>
    <row r="38" spans="1:5" x14ac:dyDescent="0.2">
      <c r="A38" t="s">
        <v>161</v>
      </c>
      <c r="B38" t="s">
        <v>380</v>
      </c>
      <c r="C38">
        <v>101</v>
      </c>
      <c r="D38" t="str">
        <f t="shared" si="0"/>
        <v>RLK3858AST_End_101</v>
      </c>
      <c r="E38">
        <v>-42</v>
      </c>
    </row>
    <row r="39" spans="1:5" x14ac:dyDescent="0.2">
      <c r="A39" t="s">
        <v>161</v>
      </c>
      <c r="B39" t="s">
        <v>380</v>
      </c>
      <c r="C39">
        <v>101</v>
      </c>
      <c r="D39" t="str">
        <f t="shared" si="0"/>
        <v>RLK3858AST_End_101</v>
      </c>
      <c r="E39">
        <v>-40</v>
      </c>
    </row>
    <row r="40" spans="1:5" x14ac:dyDescent="0.2">
      <c r="A40" t="s">
        <v>161</v>
      </c>
      <c r="B40" t="s">
        <v>380</v>
      </c>
      <c r="C40">
        <v>101</v>
      </c>
      <c r="D40" t="str">
        <f t="shared" si="0"/>
        <v>RLK3858AST_End_101</v>
      </c>
      <c r="E40">
        <v>-43</v>
      </c>
    </row>
    <row r="41" spans="1:5" x14ac:dyDescent="0.2">
      <c r="A41" t="s">
        <v>161</v>
      </c>
      <c r="B41" t="s">
        <v>380</v>
      </c>
      <c r="C41">
        <v>101</v>
      </c>
      <c r="D41" t="str">
        <f t="shared" si="0"/>
        <v>RLK3858AST_End_101</v>
      </c>
      <c r="E41">
        <v>-41</v>
      </c>
    </row>
    <row r="42" spans="1:5" x14ac:dyDescent="0.2">
      <c r="A42" t="s">
        <v>161</v>
      </c>
      <c r="B42" t="s">
        <v>380</v>
      </c>
      <c r="C42">
        <v>101</v>
      </c>
      <c r="D42" t="str">
        <f t="shared" si="0"/>
        <v>RLK3858AST_End_101</v>
      </c>
      <c r="E42">
        <v>-47</v>
      </c>
    </row>
    <row r="43" spans="1:5" x14ac:dyDescent="0.2">
      <c r="A43" t="s">
        <v>161</v>
      </c>
      <c r="B43" t="s">
        <v>380</v>
      </c>
      <c r="C43">
        <v>101</v>
      </c>
      <c r="D43" t="str">
        <f t="shared" si="0"/>
        <v>RLK3858AST_End_101</v>
      </c>
      <c r="E43">
        <v>-40</v>
      </c>
    </row>
    <row r="44" spans="1:5" x14ac:dyDescent="0.2">
      <c r="A44" t="s">
        <v>161</v>
      </c>
      <c r="B44" t="s">
        <v>380</v>
      </c>
      <c r="C44">
        <v>101</v>
      </c>
      <c r="D44" t="str">
        <f t="shared" si="0"/>
        <v>RLK3858AST_End_101</v>
      </c>
      <c r="E44">
        <v>-39</v>
      </c>
    </row>
    <row r="45" spans="1:5" x14ac:dyDescent="0.2">
      <c r="A45" t="s">
        <v>161</v>
      </c>
      <c r="B45" t="s">
        <v>380</v>
      </c>
      <c r="C45">
        <v>101</v>
      </c>
      <c r="D45" t="str">
        <f t="shared" si="0"/>
        <v>RLK3858AST_End_101</v>
      </c>
      <c r="E45">
        <v>-36</v>
      </c>
    </row>
    <row r="46" spans="1:5" x14ac:dyDescent="0.2">
      <c r="A46" t="s">
        <v>161</v>
      </c>
      <c r="B46" t="s">
        <v>380</v>
      </c>
      <c r="C46">
        <v>101</v>
      </c>
      <c r="D46" t="str">
        <f t="shared" si="0"/>
        <v>RLK3858AST_End_101</v>
      </c>
      <c r="E46">
        <v>-41</v>
      </c>
    </row>
    <row r="47" spans="1:5" x14ac:dyDescent="0.2">
      <c r="A47" t="s">
        <v>161</v>
      </c>
      <c r="B47" t="s">
        <v>380</v>
      </c>
      <c r="C47">
        <v>101</v>
      </c>
      <c r="D47" t="str">
        <f t="shared" si="0"/>
        <v>RLK3858AST_End_101</v>
      </c>
      <c r="E47">
        <v>-43</v>
      </c>
    </row>
    <row r="48" spans="1:5" x14ac:dyDescent="0.2">
      <c r="A48" t="s">
        <v>161</v>
      </c>
      <c r="B48" t="s">
        <v>380</v>
      </c>
      <c r="C48">
        <v>101</v>
      </c>
      <c r="D48" t="str">
        <f t="shared" si="0"/>
        <v>RLK3858AST_End_101</v>
      </c>
      <c r="E48">
        <v>-40</v>
      </c>
    </row>
    <row r="49" spans="1:5" x14ac:dyDescent="0.2">
      <c r="A49" t="s">
        <v>161</v>
      </c>
      <c r="B49" t="s">
        <v>380</v>
      </c>
      <c r="C49">
        <v>101</v>
      </c>
      <c r="D49" t="str">
        <f t="shared" si="0"/>
        <v>RLK3858AST_End_101</v>
      </c>
      <c r="E49">
        <v>-45</v>
      </c>
    </row>
    <row r="50" spans="1:5" x14ac:dyDescent="0.2">
      <c r="A50" t="s">
        <v>161</v>
      </c>
      <c r="B50" t="s">
        <v>380</v>
      </c>
      <c r="C50">
        <v>101</v>
      </c>
      <c r="D50" t="str">
        <f t="shared" si="0"/>
        <v>RLK3858AST_End_101</v>
      </c>
      <c r="E50">
        <v>-44</v>
      </c>
    </row>
    <row r="51" spans="1:5" x14ac:dyDescent="0.2">
      <c r="A51" t="s">
        <v>161</v>
      </c>
      <c r="B51" t="s">
        <v>380</v>
      </c>
      <c r="C51">
        <v>101</v>
      </c>
      <c r="D51" t="str">
        <f t="shared" si="0"/>
        <v>RLK3858AST_End_101</v>
      </c>
      <c r="E51">
        <v>-41</v>
      </c>
    </row>
    <row r="52" spans="1:5" x14ac:dyDescent="0.2">
      <c r="A52" t="s">
        <v>161</v>
      </c>
      <c r="B52" t="s">
        <v>380</v>
      </c>
      <c r="C52">
        <v>101</v>
      </c>
      <c r="D52" t="str">
        <f t="shared" si="0"/>
        <v>RLK3858AST_End_101</v>
      </c>
      <c r="E52">
        <v>-43</v>
      </c>
    </row>
    <row r="53" spans="1:5" x14ac:dyDescent="0.2">
      <c r="A53" t="s">
        <v>161</v>
      </c>
      <c r="B53" t="s">
        <v>380</v>
      </c>
      <c r="C53">
        <v>101</v>
      </c>
      <c r="D53" t="str">
        <f t="shared" si="0"/>
        <v>RLK3858AST_End_101</v>
      </c>
      <c r="E53">
        <v>-41</v>
      </c>
    </row>
    <row r="54" spans="1:5" x14ac:dyDescent="0.2">
      <c r="A54" t="s">
        <v>161</v>
      </c>
      <c r="B54" t="s">
        <v>380</v>
      </c>
      <c r="C54">
        <v>101</v>
      </c>
      <c r="D54" t="str">
        <f t="shared" si="0"/>
        <v>RLK3858AST_End_101</v>
      </c>
      <c r="E54">
        <v>-43</v>
      </c>
    </row>
    <row r="55" spans="1:5" x14ac:dyDescent="0.2">
      <c r="A55" t="s">
        <v>161</v>
      </c>
      <c r="B55" t="s">
        <v>380</v>
      </c>
      <c r="C55">
        <v>101</v>
      </c>
      <c r="D55" t="str">
        <f t="shared" si="0"/>
        <v>RLK3858AST_End_101</v>
      </c>
      <c r="E55">
        <v>-42</v>
      </c>
    </row>
    <row r="56" spans="1:5" x14ac:dyDescent="0.2">
      <c r="A56" t="s">
        <v>161</v>
      </c>
      <c r="B56" t="s">
        <v>380</v>
      </c>
      <c r="C56">
        <v>101</v>
      </c>
      <c r="D56" t="str">
        <f t="shared" si="0"/>
        <v>RLK3858AST_End_101</v>
      </c>
      <c r="E56">
        <v>-41</v>
      </c>
    </row>
    <row r="57" spans="1:5" x14ac:dyDescent="0.2">
      <c r="A57" t="s">
        <v>161</v>
      </c>
      <c r="B57" t="s">
        <v>380</v>
      </c>
      <c r="C57">
        <v>101</v>
      </c>
      <c r="D57" t="str">
        <f t="shared" si="0"/>
        <v>RLK3858AST_End_101</v>
      </c>
      <c r="E57">
        <v>-35</v>
      </c>
    </row>
    <row r="58" spans="1:5" x14ac:dyDescent="0.2">
      <c r="A58" t="s">
        <v>161</v>
      </c>
      <c r="B58" t="s">
        <v>380</v>
      </c>
      <c r="C58">
        <v>101</v>
      </c>
      <c r="D58" t="str">
        <f t="shared" si="0"/>
        <v>RLK3858AST_End_101</v>
      </c>
      <c r="E58">
        <v>-40</v>
      </c>
    </row>
    <row r="59" spans="1:5" x14ac:dyDescent="0.2">
      <c r="A59" t="s">
        <v>161</v>
      </c>
      <c r="B59" t="s">
        <v>380</v>
      </c>
      <c r="C59">
        <v>101</v>
      </c>
      <c r="D59" t="str">
        <f t="shared" si="0"/>
        <v>RLK3858AST_End_101</v>
      </c>
      <c r="E59">
        <v>-44</v>
      </c>
    </row>
    <row r="60" spans="1:5" x14ac:dyDescent="0.2">
      <c r="A60" t="s">
        <v>161</v>
      </c>
      <c r="B60" t="s">
        <v>380</v>
      </c>
      <c r="C60">
        <v>101</v>
      </c>
      <c r="D60" t="str">
        <f t="shared" si="0"/>
        <v>RLK3858AST_End_101</v>
      </c>
      <c r="E60">
        <v>-45</v>
      </c>
    </row>
    <row r="61" spans="1:5" x14ac:dyDescent="0.2">
      <c r="A61" t="s">
        <v>161</v>
      </c>
      <c r="B61" t="s">
        <v>380</v>
      </c>
      <c r="C61">
        <v>101</v>
      </c>
      <c r="D61" t="str">
        <f t="shared" si="0"/>
        <v>RLK3858AST_End_101</v>
      </c>
      <c r="E61">
        <v>-44</v>
      </c>
    </row>
    <row r="62" spans="1:5" x14ac:dyDescent="0.2">
      <c r="A62" t="s">
        <v>161</v>
      </c>
      <c r="B62" t="s">
        <v>380</v>
      </c>
      <c r="C62">
        <v>101</v>
      </c>
      <c r="D62" t="str">
        <f t="shared" si="0"/>
        <v>RLK3858AST_End_101</v>
      </c>
      <c r="E62">
        <v>-45</v>
      </c>
    </row>
    <row r="63" spans="1:5" x14ac:dyDescent="0.2">
      <c r="A63" t="s">
        <v>161</v>
      </c>
      <c r="B63" t="s">
        <v>380</v>
      </c>
      <c r="C63">
        <v>101</v>
      </c>
      <c r="D63" t="str">
        <f t="shared" si="0"/>
        <v>RLK3858AST_End_101</v>
      </c>
      <c r="E63">
        <v>-47</v>
      </c>
    </row>
    <row r="64" spans="1:5" x14ac:dyDescent="0.2">
      <c r="A64" t="s">
        <v>161</v>
      </c>
      <c r="B64" t="s">
        <v>380</v>
      </c>
      <c r="C64">
        <v>101</v>
      </c>
      <c r="D64" t="str">
        <f t="shared" si="0"/>
        <v>RLK3858AST_End_101</v>
      </c>
      <c r="E64">
        <v>-43</v>
      </c>
    </row>
    <row r="65" spans="1:5" x14ac:dyDescent="0.2">
      <c r="A65" t="s">
        <v>161</v>
      </c>
      <c r="B65" t="s">
        <v>380</v>
      </c>
      <c r="C65">
        <v>101</v>
      </c>
      <c r="D65" t="str">
        <f t="shared" si="0"/>
        <v>RLK3858AST_End_101</v>
      </c>
      <c r="E65">
        <v>-39</v>
      </c>
    </row>
    <row r="66" spans="1:5" x14ac:dyDescent="0.2">
      <c r="A66" t="s">
        <v>161</v>
      </c>
      <c r="B66" t="s">
        <v>380</v>
      </c>
      <c r="C66">
        <v>101</v>
      </c>
      <c r="D66" t="str">
        <f t="shared" si="0"/>
        <v>RLK3858AST_End_101</v>
      </c>
      <c r="E66">
        <v>-48</v>
      </c>
    </row>
    <row r="67" spans="1:5" x14ac:dyDescent="0.2">
      <c r="A67" t="s">
        <v>161</v>
      </c>
      <c r="B67" t="s">
        <v>380</v>
      </c>
      <c r="C67">
        <v>101</v>
      </c>
      <c r="D67" t="str">
        <f t="shared" ref="D67:D130" si="2">A67&amp;"_"&amp;B67&amp;"_"&amp;C67</f>
        <v>RLK3858AST_End_101</v>
      </c>
      <c r="E67">
        <v>-44</v>
      </c>
    </row>
    <row r="68" spans="1:5" x14ac:dyDescent="0.2">
      <c r="A68" t="s">
        <v>161</v>
      </c>
      <c r="B68" t="s">
        <v>401</v>
      </c>
      <c r="C68">
        <v>41</v>
      </c>
      <c r="D68" t="str">
        <f t="shared" si="2"/>
        <v>RLK3858AST_Start_41</v>
      </c>
      <c r="E68">
        <v>15</v>
      </c>
    </row>
    <row r="69" spans="1:5" x14ac:dyDescent="0.2">
      <c r="A69" t="s">
        <v>161</v>
      </c>
      <c r="B69" t="s">
        <v>401</v>
      </c>
      <c r="C69">
        <v>41</v>
      </c>
      <c r="D69" t="str">
        <f t="shared" si="2"/>
        <v>RLK3858AST_Start_41</v>
      </c>
      <c r="E69">
        <v>27</v>
      </c>
    </row>
    <row r="70" spans="1:5" x14ac:dyDescent="0.2">
      <c r="A70" t="s">
        <v>161</v>
      </c>
      <c r="B70" t="s">
        <v>401</v>
      </c>
      <c r="C70">
        <v>41</v>
      </c>
      <c r="D70" t="str">
        <f t="shared" si="2"/>
        <v>RLK3858AST_Start_41</v>
      </c>
      <c r="E70">
        <v>18</v>
      </c>
    </row>
    <row r="71" spans="1:5" x14ac:dyDescent="0.2">
      <c r="A71" t="s">
        <v>161</v>
      </c>
      <c r="B71" t="s">
        <v>401</v>
      </c>
      <c r="C71">
        <v>41</v>
      </c>
      <c r="D71" t="str">
        <f t="shared" si="2"/>
        <v>RLK3858AST_Start_41</v>
      </c>
      <c r="E71">
        <v>15</v>
      </c>
    </row>
    <row r="72" spans="1:5" x14ac:dyDescent="0.2">
      <c r="A72" t="s">
        <v>161</v>
      </c>
      <c r="B72" t="s">
        <v>401</v>
      </c>
      <c r="C72">
        <v>41</v>
      </c>
      <c r="D72" t="str">
        <f t="shared" si="2"/>
        <v>RLK3858AST_Start_41</v>
      </c>
      <c r="E72">
        <v>20</v>
      </c>
    </row>
    <row r="73" spans="1:5" x14ac:dyDescent="0.2">
      <c r="A73" t="s">
        <v>161</v>
      </c>
      <c r="B73" t="s">
        <v>401</v>
      </c>
      <c r="C73">
        <v>41</v>
      </c>
      <c r="D73" t="str">
        <f t="shared" si="2"/>
        <v>RLK3858AST_Start_41</v>
      </c>
      <c r="E73">
        <v>20</v>
      </c>
    </row>
    <row r="74" spans="1:5" x14ac:dyDescent="0.2">
      <c r="A74" t="s">
        <v>161</v>
      </c>
      <c r="B74" t="s">
        <v>401</v>
      </c>
      <c r="C74">
        <v>41</v>
      </c>
      <c r="D74" t="str">
        <f t="shared" si="2"/>
        <v>RLK3858AST_Start_41</v>
      </c>
      <c r="E74">
        <v>18</v>
      </c>
    </row>
    <row r="75" spans="1:5" x14ac:dyDescent="0.2">
      <c r="A75" t="s">
        <v>161</v>
      </c>
      <c r="B75" t="s">
        <v>401</v>
      </c>
      <c r="C75">
        <v>41</v>
      </c>
      <c r="D75" t="str">
        <f t="shared" si="2"/>
        <v>RLK3858AST_Start_41</v>
      </c>
      <c r="E75">
        <v>56</v>
      </c>
    </row>
    <row r="76" spans="1:5" x14ac:dyDescent="0.2">
      <c r="A76" t="s">
        <v>161</v>
      </c>
      <c r="B76" t="s">
        <v>401</v>
      </c>
      <c r="C76">
        <v>41</v>
      </c>
      <c r="D76" t="str">
        <f t="shared" si="2"/>
        <v>RLK3858AST_Start_41</v>
      </c>
      <c r="E76">
        <v>6</v>
      </c>
    </row>
    <row r="77" spans="1:5" x14ac:dyDescent="0.2">
      <c r="A77" t="s">
        <v>161</v>
      </c>
      <c r="B77" t="s">
        <v>401</v>
      </c>
      <c r="C77">
        <v>41</v>
      </c>
      <c r="D77" t="str">
        <f t="shared" si="2"/>
        <v>RLK3858AST_Start_41</v>
      </c>
      <c r="E77">
        <v>44</v>
      </c>
    </row>
    <row r="78" spans="1:5" x14ac:dyDescent="0.2">
      <c r="A78" t="s">
        <v>161</v>
      </c>
      <c r="B78" t="s">
        <v>401</v>
      </c>
      <c r="C78">
        <v>41</v>
      </c>
      <c r="D78" t="str">
        <f t="shared" si="2"/>
        <v>RLK3858AST_Start_41</v>
      </c>
      <c r="E78">
        <v>7</v>
      </c>
    </row>
    <row r="79" spans="1:5" x14ac:dyDescent="0.2">
      <c r="A79" t="s">
        <v>161</v>
      </c>
      <c r="B79" t="s">
        <v>401</v>
      </c>
      <c r="C79">
        <v>41</v>
      </c>
      <c r="D79" t="str">
        <f t="shared" si="2"/>
        <v>RLK3858AST_Start_41</v>
      </c>
      <c r="E79">
        <v>20</v>
      </c>
    </row>
    <row r="80" spans="1:5" x14ac:dyDescent="0.2">
      <c r="A80" t="s">
        <v>161</v>
      </c>
      <c r="B80" t="s">
        <v>401</v>
      </c>
      <c r="C80">
        <v>41</v>
      </c>
      <c r="D80" t="str">
        <f t="shared" si="2"/>
        <v>RLK3858AST_Start_41</v>
      </c>
      <c r="E80">
        <v>24</v>
      </c>
    </row>
    <row r="81" spans="1:5" x14ac:dyDescent="0.2">
      <c r="A81" t="s">
        <v>161</v>
      </c>
      <c r="B81" t="s">
        <v>401</v>
      </c>
      <c r="C81">
        <v>41</v>
      </c>
      <c r="D81" t="str">
        <f t="shared" si="2"/>
        <v>RLK3858AST_Start_41</v>
      </c>
      <c r="E81">
        <v>-15</v>
      </c>
    </row>
    <row r="82" spans="1:5" x14ac:dyDescent="0.2">
      <c r="A82" t="s">
        <v>161</v>
      </c>
      <c r="B82" t="s">
        <v>401</v>
      </c>
      <c r="C82">
        <v>41</v>
      </c>
      <c r="D82" t="str">
        <f t="shared" si="2"/>
        <v>RLK3858AST_Start_41</v>
      </c>
      <c r="E82">
        <v>12</v>
      </c>
    </row>
    <row r="83" spans="1:5" x14ac:dyDescent="0.2">
      <c r="A83" t="s">
        <v>161</v>
      </c>
      <c r="B83" t="s">
        <v>401</v>
      </c>
      <c r="C83">
        <v>41</v>
      </c>
      <c r="D83" t="str">
        <f t="shared" si="2"/>
        <v>RLK3858AST_Start_41</v>
      </c>
      <c r="E83">
        <v>20</v>
      </c>
    </row>
    <row r="84" spans="1:5" x14ac:dyDescent="0.2">
      <c r="A84" t="s">
        <v>161</v>
      </c>
      <c r="B84" t="s">
        <v>401</v>
      </c>
      <c r="C84">
        <v>41</v>
      </c>
      <c r="D84" t="str">
        <f t="shared" si="2"/>
        <v>RLK3858AST_Start_41</v>
      </c>
      <c r="E84">
        <v>14</v>
      </c>
    </row>
    <row r="85" spans="1:5" x14ac:dyDescent="0.2">
      <c r="A85" t="s">
        <v>161</v>
      </c>
      <c r="B85" t="s">
        <v>401</v>
      </c>
      <c r="C85">
        <v>41</v>
      </c>
      <c r="D85" t="str">
        <f t="shared" si="2"/>
        <v>RLK3858AST_Start_41</v>
      </c>
      <c r="E85">
        <v>44</v>
      </c>
    </row>
    <row r="86" spans="1:5" x14ac:dyDescent="0.2">
      <c r="A86" t="s">
        <v>161</v>
      </c>
      <c r="B86" t="s">
        <v>401</v>
      </c>
      <c r="C86">
        <v>41</v>
      </c>
      <c r="D86" t="str">
        <f t="shared" si="2"/>
        <v>RLK3858AST_Start_41</v>
      </c>
      <c r="E86">
        <v>12</v>
      </c>
    </row>
    <row r="87" spans="1:5" x14ac:dyDescent="0.2">
      <c r="A87" t="s">
        <v>161</v>
      </c>
      <c r="B87" t="s">
        <v>401</v>
      </c>
      <c r="C87">
        <v>41</v>
      </c>
      <c r="D87" t="str">
        <f t="shared" si="2"/>
        <v>RLK3858AST_Start_41</v>
      </c>
      <c r="E87">
        <v>20</v>
      </c>
    </row>
    <row r="88" spans="1:5" x14ac:dyDescent="0.2">
      <c r="A88" t="s">
        <v>161</v>
      </c>
      <c r="B88" t="s">
        <v>401</v>
      </c>
      <c r="C88">
        <v>41</v>
      </c>
      <c r="D88" t="str">
        <f t="shared" si="2"/>
        <v>RLK3858AST_Start_41</v>
      </c>
      <c r="E88">
        <v>17</v>
      </c>
    </row>
    <row r="89" spans="1:5" x14ac:dyDescent="0.2">
      <c r="A89" t="s">
        <v>161</v>
      </c>
      <c r="B89" t="s">
        <v>401</v>
      </c>
      <c r="C89">
        <v>41</v>
      </c>
      <c r="D89" t="str">
        <f t="shared" si="2"/>
        <v>RLK3858AST_Start_41</v>
      </c>
      <c r="E89">
        <v>18</v>
      </c>
    </row>
    <row r="90" spans="1:5" x14ac:dyDescent="0.2">
      <c r="A90" t="s">
        <v>161</v>
      </c>
      <c r="B90" t="s">
        <v>401</v>
      </c>
      <c r="C90">
        <v>41</v>
      </c>
      <c r="D90" t="str">
        <f t="shared" si="2"/>
        <v>RLK3858AST_Start_41</v>
      </c>
      <c r="E90">
        <v>44</v>
      </c>
    </row>
    <row r="91" spans="1:5" x14ac:dyDescent="0.2">
      <c r="A91" t="s">
        <v>161</v>
      </c>
      <c r="B91" t="s">
        <v>401</v>
      </c>
      <c r="C91">
        <v>41</v>
      </c>
      <c r="D91" t="str">
        <f t="shared" si="2"/>
        <v>RLK3858AST_Start_41</v>
      </c>
      <c r="E91">
        <v>20</v>
      </c>
    </row>
    <row r="92" spans="1:5" x14ac:dyDescent="0.2">
      <c r="A92" t="s">
        <v>161</v>
      </c>
      <c r="B92" t="s">
        <v>401</v>
      </c>
      <c r="C92">
        <v>41</v>
      </c>
      <c r="D92" t="str">
        <f t="shared" si="2"/>
        <v>RLK3858AST_Start_41</v>
      </c>
      <c r="E92">
        <v>16</v>
      </c>
    </row>
    <row r="93" spans="1:5" x14ac:dyDescent="0.2">
      <c r="A93" t="s">
        <v>161</v>
      </c>
      <c r="B93" t="s">
        <v>401</v>
      </c>
      <c r="C93">
        <v>41</v>
      </c>
      <c r="D93" t="str">
        <f t="shared" si="2"/>
        <v>RLK3858AST_Start_41</v>
      </c>
      <c r="E93">
        <v>19</v>
      </c>
    </row>
    <row r="94" spans="1:5" x14ac:dyDescent="0.2">
      <c r="A94" t="s">
        <v>161</v>
      </c>
      <c r="B94" t="s">
        <v>401</v>
      </c>
      <c r="C94">
        <v>41</v>
      </c>
      <c r="D94" t="str">
        <f t="shared" si="2"/>
        <v>RLK3858AST_Start_41</v>
      </c>
      <c r="E94">
        <v>20</v>
      </c>
    </row>
    <row r="95" spans="1:5" x14ac:dyDescent="0.2">
      <c r="A95" t="s">
        <v>161</v>
      </c>
      <c r="B95" t="s">
        <v>401</v>
      </c>
      <c r="C95">
        <v>41</v>
      </c>
      <c r="D95" t="str">
        <f t="shared" si="2"/>
        <v>RLK3858AST_Start_41</v>
      </c>
      <c r="E95">
        <v>58</v>
      </c>
    </row>
    <row r="96" spans="1:5" x14ac:dyDescent="0.2">
      <c r="A96" t="s">
        <v>161</v>
      </c>
      <c r="B96" t="s">
        <v>401</v>
      </c>
      <c r="C96">
        <v>41</v>
      </c>
      <c r="D96" t="str">
        <f t="shared" si="2"/>
        <v>RLK3858AST_Start_41</v>
      </c>
      <c r="E96">
        <v>19</v>
      </c>
    </row>
    <row r="97" spans="1:5" x14ac:dyDescent="0.2">
      <c r="A97" t="s">
        <v>161</v>
      </c>
      <c r="B97" t="s">
        <v>401</v>
      </c>
      <c r="C97">
        <v>41</v>
      </c>
      <c r="D97" t="str">
        <f t="shared" si="2"/>
        <v>RLK3858AST_Start_41</v>
      </c>
      <c r="E97">
        <v>-7</v>
      </c>
    </row>
    <row r="98" spans="1:5" x14ac:dyDescent="0.2">
      <c r="A98" t="s">
        <v>161</v>
      </c>
      <c r="B98" t="s">
        <v>401</v>
      </c>
      <c r="C98">
        <v>41</v>
      </c>
      <c r="D98" t="str">
        <f t="shared" si="2"/>
        <v>RLK3858AST_Start_41</v>
      </c>
      <c r="E98">
        <v>46</v>
      </c>
    </row>
    <row r="99" spans="1:5" x14ac:dyDescent="0.2">
      <c r="A99" t="s">
        <v>161</v>
      </c>
      <c r="B99" t="s">
        <v>401</v>
      </c>
      <c r="C99">
        <v>41</v>
      </c>
      <c r="D99" t="str">
        <f t="shared" si="2"/>
        <v>RLK3858AST_Start_41</v>
      </c>
      <c r="E99">
        <v>-17</v>
      </c>
    </row>
    <row r="100" spans="1:5" x14ac:dyDescent="0.2">
      <c r="A100" t="s">
        <v>161</v>
      </c>
      <c r="B100" t="s">
        <v>401</v>
      </c>
      <c r="C100">
        <v>41</v>
      </c>
      <c r="D100" t="str">
        <f t="shared" si="2"/>
        <v>RLK3858AST_Start_41</v>
      </c>
      <c r="E100">
        <v>25</v>
      </c>
    </row>
    <row r="101" spans="1:5" x14ac:dyDescent="0.2">
      <c r="A101" t="s">
        <v>161</v>
      </c>
      <c r="B101" t="s">
        <v>380</v>
      </c>
      <c r="C101">
        <v>41</v>
      </c>
      <c r="D101" t="str">
        <f t="shared" si="2"/>
        <v>RLK3858AST_End_41</v>
      </c>
      <c r="E101">
        <v>-14</v>
      </c>
    </row>
    <row r="102" spans="1:5" x14ac:dyDescent="0.2">
      <c r="A102" t="s">
        <v>161</v>
      </c>
      <c r="B102" t="s">
        <v>380</v>
      </c>
      <c r="C102">
        <v>41</v>
      </c>
      <c r="D102" t="str">
        <f t="shared" si="2"/>
        <v>RLK3858AST_End_41</v>
      </c>
      <c r="E102">
        <v>-8</v>
      </c>
    </row>
    <row r="103" spans="1:5" x14ac:dyDescent="0.2">
      <c r="A103" t="s">
        <v>161</v>
      </c>
      <c r="B103" t="s">
        <v>380</v>
      </c>
      <c r="C103">
        <v>41</v>
      </c>
      <c r="D103" t="str">
        <f t="shared" si="2"/>
        <v>RLK3858AST_End_41</v>
      </c>
      <c r="E103">
        <v>-7</v>
      </c>
    </row>
    <row r="104" spans="1:5" x14ac:dyDescent="0.2">
      <c r="A104" t="s">
        <v>161</v>
      </c>
      <c r="B104" t="s">
        <v>380</v>
      </c>
      <c r="C104">
        <v>41</v>
      </c>
      <c r="D104" t="str">
        <f t="shared" si="2"/>
        <v>RLK3858AST_End_41</v>
      </c>
      <c r="E104">
        <v>-10</v>
      </c>
    </row>
    <row r="105" spans="1:5" x14ac:dyDescent="0.2">
      <c r="A105" t="s">
        <v>161</v>
      </c>
      <c r="B105" t="s">
        <v>380</v>
      </c>
      <c r="C105">
        <v>41</v>
      </c>
      <c r="D105" t="str">
        <f t="shared" si="2"/>
        <v>RLK3858AST_End_41</v>
      </c>
      <c r="E105">
        <v>-9</v>
      </c>
    </row>
    <row r="106" spans="1:5" x14ac:dyDescent="0.2">
      <c r="A106" t="s">
        <v>161</v>
      </c>
      <c r="B106" t="s">
        <v>380</v>
      </c>
      <c r="C106">
        <v>41</v>
      </c>
      <c r="D106" t="str">
        <f t="shared" si="2"/>
        <v>RLK3858AST_End_41</v>
      </c>
      <c r="E106">
        <v>-9</v>
      </c>
    </row>
    <row r="107" spans="1:5" x14ac:dyDescent="0.2">
      <c r="A107" t="s">
        <v>161</v>
      </c>
      <c r="B107" t="s">
        <v>380</v>
      </c>
      <c r="C107">
        <v>41</v>
      </c>
      <c r="D107" t="str">
        <f t="shared" si="2"/>
        <v>RLK3858AST_End_41</v>
      </c>
      <c r="E107">
        <v>-9</v>
      </c>
    </row>
    <row r="108" spans="1:5" x14ac:dyDescent="0.2">
      <c r="A108" t="s">
        <v>161</v>
      </c>
      <c r="B108" t="s">
        <v>380</v>
      </c>
      <c r="C108">
        <v>41</v>
      </c>
      <c r="D108" t="str">
        <f t="shared" si="2"/>
        <v>RLK3858AST_End_41</v>
      </c>
      <c r="E108">
        <v>-16</v>
      </c>
    </row>
    <row r="109" spans="1:5" x14ac:dyDescent="0.2">
      <c r="A109" t="s">
        <v>161</v>
      </c>
      <c r="B109" t="s">
        <v>380</v>
      </c>
      <c r="C109">
        <v>41</v>
      </c>
      <c r="D109" t="str">
        <f t="shared" si="2"/>
        <v>RLK3858AST_End_41</v>
      </c>
      <c r="E109">
        <v>-10</v>
      </c>
    </row>
    <row r="110" spans="1:5" x14ac:dyDescent="0.2">
      <c r="A110" t="s">
        <v>161</v>
      </c>
      <c r="B110" t="s">
        <v>380</v>
      </c>
      <c r="C110">
        <v>41</v>
      </c>
      <c r="D110" t="str">
        <f t="shared" si="2"/>
        <v>RLK3858AST_End_41</v>
      </c>
      <c r="E110">
        <v>-10</v>
      </c>
    </row>
    <row r="111" spans="1:5" x14ac:dyDescent="0.2">
      <c r="A111" t="s">
        <v>161</v>
      </c>
      <c r="B111" t="s">
        <v>380</v>
      </c>
      <c r="C111">
        <v>41</v>
      </c>
      <c r="D111" t="str">
        <f t="shared" si="2"/>
        <v>RLK3858AST_End_41</v>
      </c>
      <c r="E111">
        <v>-7</v>
      </c>
    </row>
    <row r="112" spans="1:5" x14ac:dyDescent="0.2">
      <c r="A112" t="s">
        <v>161</v>
      </c>
      <c r="B112" t="s">
        <v>380</v>
      </c>
      <c r="C112">
        <v>41</v>
      </c>
      <c r="D112" t="str">
        <f t="shared" si="2"/>
        <v>RLK3858AST_End_41</v>
      </c>
      <c r="E112">
        <v>-11</v>
      </c>
    </row>
    <row r="113" spans="1:5" x14ac:dyDescent="0.2">
      <c r="A113" t="s">
        <v>161</v>
      </c>
      <c r="B113" t="s">
        <v>380</v>
      </c>
      <c r="C113">
        <v>41</v>
      </c>
      <c r="D113" t="str">
        <f t="shared" si="2"/>
        <v>RLK3858AST_End_41</v>
      </c>
      <c r="E113">
        <v>-12</v>
      </c>
    </row>
    <row r="114" spans="1:5" x14ac:dyDescent="0.2">
      <c r="A114" t="s">
        <v>161</v>
      </c>
      <c r="B114" t="s">
        <v>380</v>
      </c>
      <c r="C114">
        <v>41</v>
      </c>
      <c r="D114" t="str">
        <f t="shared" si="2"/>
        <v>RLK3858AST_End_41</v>
      </c>
      <c r="E114">
        <v>-10</v>
      </c>
    </row>
    <row r="115" spans="1:5" x14ac:dyDescent="0.2">
      <c r="A115" t="s">
        <v>161</v>
      </c>
      <c r="B115" t="s">
        <v>380</v>
      </c>
      <c r="C115">
        <v>41</v>
      </c>
      <c r="D115" t="str">
        <f t="shared" si="2"/>
        <v>RLK3858AST_End_41</v>
      </c>
      <c r="E115">
        <v>-15</v>
      </c>
    </row>
    <row r="116" spans="1:5" x14ac:dyDescent="0.2">
      <c r="A116" t="s">
        <v>161</v>
      </c>
      <c r="B116" t="s">
        <v>380</v>
      </c>
      <c r="C116">
        <v>41</v>
      </c>
      <c r="D116" t="str">
        <f t="shared" si="2"/>
        <v>RLK3858AST_End_41</v>
      </c>
      <c r="E116">
        <v>-11</v>
      </c>
    </row>
    <row r="117" spans="1:5" x14ac:dyDescent="0.2">
      <c r="A117" t="s">
        <v>161</v>
      </c>
      <c r="B117" t="s">
        <v>380</v>
      </c>
      <c r="C117">
        <v>41</v>
      </c>
      <c r="D117" t="str">
        <f t="shared" si="2"/>
        <v>RLK3858AST_End_41</v>
      </c>
      <c r="E117">
        <v>-8</v>
      </c>
    </row>
    <row r="118" spans="1:5" x14ac:dyDescent="0.2">
      <c r="A118" t="s">
        <v>161</v>
      </c>
      <c r="B118" t="s">
        <v>380</v>
      </c>
      <c r="C118">
        <v>41</v>
      </c>
      <c r="D118" t="str">
        <f t="shared" si="2"/>
        <v>RLK3858AST_End_41</v>
      </c>
      <c r="E118">
        <v>-12</v>
      </c>
    </row>
    <row r="119" spans="1:5" x14ac:dyDescent="0.2">
      <c r="A119" t="s">
        <v>161</v>
      </c>
      <c r="B119" t="s">
        <v>380</v>
      </c>
      <c r="C119">
        <v>41</v>
      </c>
      <c r="D119" t="str">
        <f t="shared" si="2"/>
        <v>RLK3858AST_End_41</v>
      </c>
      <c r="E119">
        <v>-10</v>
      </c>
    </row>
    <row r="120" spans="1:5" x14ac:dyDescent="0.2">
      <c r="A120" t="s">
        <v>161</v>
      </c>
      <c r="B120" t="s">
        <v>380</v>
      </c>
      <c r="C120">
        <v>41</v>
      </c>
      <c r="D120" t="str">
        <f t="shared" si="2"/>
        <v>RLK3858AST_End_41</v>
      </c>
      <c r="E120">
        <v>-14</v>
      </c>
    </row>
    <row r="121" spans="1:5" x14ac:dyDescent="0.2">
      <c r="A121" t="s">
        <v>161</v>
      </c>
      <c r="B121" t="s">
        <v>380</v>
      </c>
      <c r="C121">
        <v>41</v>
      </c>
      <c r="D121" t="str">
        <f t="shared" si="2"/>
        <v>RLK3858AST_End_41</v>
      </c>
      <c r="E121">
        <v>-10</v>
      </c>
    </row>
    <row r="122" spans="1:5" x14ac:dyDescent="0.2">
      <c r="A122" t="s">
        <v>161</v>
      </c>
      <c r="B122" t="s">
        <v>380</v>
      </c>
      <c r="C122">
        <v>41</v>
      </c>
      <c r="D122" t="str">
        <f t="shared" si="2"/>
        <v>RLK3858AST_End_41</v>
      </c>
      <c r="E122">
        <v>-11</v>
      </c>
    </row>
    <row r="123" spans="1:5" x14ac:dyDescent="0.2">
      <c r="A123" t="s">
        <v>161</v>
      </c>
      <c r="B123" t="s">
        <v>380</v>
      </c>
      <c r="C123">
        <v>41</v>
      </c>
      <c r="D123" t="str">
        <f t="shared" si="2"/>
        <v>RLK3858AST_End_41</v>
      </c>
      <c r="E123">
        <v>-5</v>
      </c>
    </row>
    <row r="124" spans="1:5" x14ac:dyDescent="0.2">
      <c r="A124" t="s">
        <v>161</v>
      </c>
      <c r="B124" t="s">
        <v>380</v>
      </c>
      <c r="C124">
        <v>41</v>
      </c>
      <c r="D124" t="str">
        <f t="shared" si="2"/>
        <v>RLK3858AST_End_41</v>
      </c>
      <c r="E124">
        <v>-8</v>
      </c>
    </row>
    <row r="125" spans="1:5" x14ac:dyDescent="0.2">
      <c r="A125" t="s">
        <v>161</v>
      </c>
      <c r="B125" t="s">
        <v>380</v>
      </c>
      <c r="C125">
        <v>41</v>
      </c>
      <c r="D125" t="str">
        <f t="shared" si="2"/>
        <v>RLK3858AST_End_41</v>
      </c>
      <c r="E125">
        <v>-13</v>
      </c>
    </row>
    <row r="126" spans="1:5" x14ac:dyDescent="0.2">
      <c r="A126" t="s">
        <v>161</v>
      </c>
      <c r="B126" t="s">
        <v>380</v>
      </c>
      <c r="C126">
        <v>41</v>
      </c>
      <c r="D126" t="str">
        <f t="shared" si="2"/>
        <v>RLK3858AST_End_41</v>
      </c>
      <c r="E126">
        <v>-12</v>
      </c>
    </row>
    <row r="127" spans="1:5" x14ac:dyDescent="0.2">
      <c r="A127" t="s">
        <v>161</v>
      </c>
      <c r="B127" t="s">
        <v>380</v>
      </c>
      <c r="C127">
        <v>41</v>
      </c>
      <c r="D127" t="str">
        <f t="shared" si="2"/>
        <v>RLK3858AST_End_41</v>
      </c>
      <c r="E127">
        <v>-14</v>
      </c>
    </row>
    <row r="128" spans="1:5" x14ac:dyDescent="0.2">
      <c r="A128" t="s">
        <v>161</v>
      </c>
      <c r="B128" t="s">
        <v>380</v>
      </c>
      <c r="C128">
        <v>41</v>
      </c>
      <c r="D128" t="str">
        <f t="shared" si="2"/>
        <v>RLK3858AST_End_41</v>
      </c>
      <c r="E128">
        <v>-12</v>
      </c>
    </row>
    <row r="129" spans="1:5" x14ac:dyDescent="0.2">
      <c r="A129" t="s">
        <v>161</v>
      </c>
      <c r="B129" t="s">
        <v>380</v>
      </c>
      <c r="C129">
        <v>41</v>
      </c>
      <c r="D129" t="str">
        <f t="shared" si="2"/>
        <v>RLK3858AST_End_41</v>
      </c>
      <c r="E129">
        <v>-15</v>
      </c>
    </row>
    <row r="130" spans="1:5" x14ac:dyDescent="0.2">
      <c r="A130" t="s">
        <v>161</v>
      </c>
      <c r="B130" t="s">
        <v>380</v>
      </c>
      <c r="C130">
        <v>41</v>
      </c>
      <c r="D130" t="str">
        <f t="shared" si="2"/>
        <v>RLK3858AST_End_41</v>
      </c>
      <c r="E130">
        <v>-13</v>
      </c>
    </row>
    <row r="131" spans="1:5" x14ac:dyDescent="0.2">
      <c r="A131" t="s">
        <v>161</v>
      </c>
      <c r="B131" t="s">
        <v>380</v>
      </c>
      <c r="C131">
        <v>41</v>
      </c>
      <c r="D131" t="str">
        <f t="shared" ref="D131:D194" si="3">A131&amp;"_"&amp;B131&amp;"_"&amp;C131</f>
        <v>RLK3858AST_End_41</v>
      </c>
      <c r="E131">
        <v>-9</v>
      </c>
    </row>
    <row r="132" spans="1:5" x14ac:dyDescent="0.2">
      <c r="A132" t="s">
        <v>161</v>
      </c>
      <c r="B132" t="s">
        <v>380</v>
      </c>
      <c r="C132">
        <v>41</v>
      </c>
      <c r="D132" t="str">
        <f t="shared" si="3"/>
        <v>RLK3858AST_End_41</v>
      </c>
      <c r="E132">
        <v>-14</v>
      </c>
    </row>
    <row r="133" spans="1:5" x14ac:dyDescent="0.2">
      <c r="A133" t="s">
        <v>161</v>
      </c>
      <c r="B133" t="s">
        <v>380</v>
      </c>
      <c r="C133">
        <v>41</v>
      </c>
      <c r="D133" t="str">
        <f t="shared" si="3"/>
        <v>RLK3858AST_End_41</v>
      </c>
      <c r="E133">
        <v>-10</v>
      </c>
    </row>
    <row r="134" spans="1:5" x14ac:dyDescent="0.2">
      <c r="A134" t="s">
        <v>416</v>
      </c>
      <c r="B134" t="s">
        <v>401</v>
      </c>
      <c r="C134">
        <v>101</v>
      </c>
      <c r="D134" t="str">
        <f t="shared" si="3"/>
        <v>ENM0027FST_Start_101</v>
      </c>
      <c r="E134">
        <v>43</v>
      </c>
    </row>
    <row r="135" spans="1:5" x14ac:dyDescent="0.2">
      <c r="A135" t="s">
        <v>416</v>
      </c>
      <c r="B135" t="s">
        <v>401</v>
      </c>
      <c r="C135">
        <v>101</v>
      </c>
      <c r="D135" t="str">
        <f t="shared" si="3"/>
        <v>ENM0027FST_Start_101</v>
      </c>
      <c r="E135">
        <v>44</v>
      </c>
    </row>
    <row r="136" spans="1:5" x14ac:dyDescent="0.2">
      <c r="A136" t="s">
        <v>416</v>
      </c>
      <c r="B136" t="s">
        <v>401</v>
      </c>
      <c r="C136">
        <v>101</v>
      </c>
      <c r="D136" t="str">
        <f t="shared" si="3"/>
        <v>ENM0027FST_Start_101</v>
      </c>
      <c r="E136">
        <v>43</v>
      </c>
    </row>
    <row r="137" spans="1:5" x14ac:dyDescent="0.2">
      <c r="A137" t="s">
        <v>416</v>
      </c>
      <c r="B137" t="s">
        <v>401</v>
      </c>
      <c r="C137">
        <v>101</v>
      </c>
      <c r="D137" t="str">
        <f t="shared" si="3"/>
        <v>ENM0027FST_Start_101</v>
      </c>
      <c r="E137">
        <v>45</v>
      </c>
    </row>
    <row r="138" spans="1:5" x14ac:dyDescent="0.2">
      <c r="A138" t="s">
        <v>416</v>
      </c>
      <c r="B138" t="s">
        <v>401</v>
      </c>
      <c r="C138">
        <v>101</v>
      </c>
      <c r="D138" t="str">
        <f t="shared" si="3"/>
        <v>ENM0027FST_Start_101</v>
      </c>
      <c r="E138">
        <v>45</v>
      </c>
    </row>
    <row r="139" spans="1:5" x14ac:dyDescent="0.2">
      <c r="A139" t="s">
        <v>416</v>
      </c>
      <c r="B139" t="s">
        <v>401</v>
      </c>
      <c r="C139">
        <v>101</v>
      </c>
      <c r="D139" t="str">
        <f t="shared" si="3"/>
        <v>ENM0027FST_Start_101</v>
      </c>
      <c r="E139">
        <v>43</v>
      </c>
    </row>
    <row r="140" spans="1:5" x14ac:dyDescent="0.2">
      <c r="A140" t="s">
        <v>416</v>
      </c>
      <c r="B140" t="s">
        <v>401</v>
      </c>
      <c r="C140">
        <v>101</v>
      </c>
      <c r="D140" t="str">
        <f t="shared" si="3"/>
        <v>ENM0027FST_Start_101</v>
      </c>
      <c r="E140">
        <v>44</v>
      </c>
    </row>
    <row r="141" spans="1:5" x14ac:dyDescent="0.2">
      <c r="A141" t="s">
        <v>416</v>
      </c>
      <c r="B141" t="s">
        <v>401</v>
      </c>
      <c r="C141">
        <v>101</v>
      </c>
      <c r="D141" t="str">
        <f t="shared" si="3"/>
        <v>ENM0027FST_Start_101</v>
      </c>
      <c r="E141">
        <v>44</v>
      </c>
    </row>
    <row r="142" spans="1:5" x14ac:dyDescent="0.2">
      <c r="A142" t="s">
        <v>416</v>
      </c>
      <c r="B142" t="s">
        <v>401</v>
      </c>
      <c r="C142">
        <v>101</v>
      </c>
      <c r="D142" t="str">
        <f t="shared" si="3"/>
        <v>ENM0027FST_Start_101</v>
      </c>
      <c r="E142">
        <v>24</v>
      </c>
    </row>
    <row r="143" spans="1:5" x14ac:dyDescent="0.2">
      <c r="A143" t="s">
        <v>416</v>
      </c>
      <c r="B143" t="s">
        <v>401</v>
      </c>
      <c r="C143">
        <v>101</v>
      </c>
      <c r="D143" t="str">
        <f t="shared" si="3"/>
        <v>ENM0027FST_Start_101</v>
      </c>
      <c r="E143">
        <v>46</v>
      </c>
    </row>
    <row r="144" spans="1:5" x14ac:dyDescent="0.2">
      <c r="A144" t="s">
        <v>416</v>
      </c>
      <c r="B144" t="s">
        <v>401</v>
      </c>
      <c r="C144">
        <v>101</v>
      </c>
      <c r="D144" t="str">
        <f t="shared" si="3"/>
        <v>ENM0027FST_Start_101</v>
      </c>
      <c r="E144">
        <v>44</v>
      </c>
    </row>
    <row r="145" spans="1:5" x14ac:dyDescent="0.2">
      <c r="A145" t="s">
        <v>416</v>
      </c>
      <c r="B145" t="s">
        <v>401</v>
      </c>
      <c r="C145">
        <v>101</v>
      </c>
      <c r="D145" t="str">
        <f t="shared" si="3"/>
        <v>ENM0027FST_Start_101</v>
      </c>
      <c r="E145">
        <v>42</v>
      </c>
    </row>
    <row r="146" spans="1:5" x14ac:dyDescent="0.2">
      <c r="A146" t="s">
        <v>416</v>
      </c>
      <c r="B146" t="s">
        <v>401</v>
      </c>
      <c r="C146">
        <v>101</v>
      </c>
      <c r="D146" t="str">
        <f t="shared" si="3"/>
        <v>ENM0027FST_Start_101</v>
      </c>
      <c r="E146">
        <v>44</v>
      </c>
    </row>
    <row r="147" spans="1:5" x14ac:dyDescent="0.2">
      <c r="A147" t="s">
        <v>416</v>
      </c>
      <c r="B147" t="s">
        <v>401</v>
      </c>
      <c r="C147">
        <v>101</v>
      </c>
      <c r="D147" t="str">
        <f t="shared" si="3"/>
        <v>ENM0027FST_Start_101</v>
      </c>
      <c r="E147">
        <v>43</v>
      </c>
    </row>
    <row r="148" spans="1:5" x14ac:dyDescent="0.2">
      <c r="A148" t="s">
        <v>416</v>
      </c>
      <c r="B148" t="s">
        <v>401</v>
      </c>
      <c r="C148">
        <v>101</v>
      </c>
      <c r="D148" t="str">
        <f t="shared" si="3"/>
        <v>ENM0027FST_Start_101</v>
      </c>
      <c r="E148">
        <v>44</v>
      </c>
    </row>
    <row r="149" spans="1:5" x14ac:dyDescent="0.2">
      <c r="A149" t="s">
        <v>416</v>
      </c>
      <c r="B149" t="s">
        <v>401</v>
      </c>
      <c r="C149">
        <v>101</v>
      </c>
      <c r="D149" t="str">
        <f t="shared" si="3"/>
        <v>ENM0027FST_Start_101</v>
      </c>
      <c r="E149">
        <v>44</v>
      </c>
    </row>
    <row r="150" spans="1:5" x14ac:dyDescent="0.2">
      <c r="A150" t="s">
        <v>416</v>
      </c>
      <c r="B150" t="s">
        <v>401</v>
      </c>
      <c r="C150">
        <v>101</v>
      </c>
      <c r="D150" t="str">
        <f t="shared" si="3"/>
        <v>ENM0027FST_Start_101</v>
      </c>
      <c r="E150">
        <v>43</v>
      </c>
    </row>
    <row r="151" spans="1:5" x14ac:dyDescent="0.2">
      <c r="A151" t="s">
        <v>416</v>
      </c>
      <c r="B151" t="s">
        <v>401</v>
      </c>
      <c r="C151">
        <v>101</v>
      </c>
      <c r="D151" t="str">
        <f t="shared" si="3"/>
        <v>ENM0027FST_Start_101</v>
      </c>
      <c r="E151">
        <v>43</v>
      </c>
    </row>
    <row r="152" spans="1:5" x14ac:dyDescent="0.2">
      <c r="A152" t="s">
        <v>416</v>
      </c>
      <c r="B152" t="s">
        <v>401</v>
      </c>
      <c r="C152">
        <v>101</v>
      </c>
      <c r="D152" t="str">
        <f t="shared" si="3"/>
        <v>ENM0027FST_Start_101</v>
      </c>
      <c r="E152">
        <v>44</v>
      </c>
    </row>
    <row r="153" spans="1:5" x14ac:dyDescent="0.2">
      <c r="A153" t="s">
        <v>416</v>
      </c>
      <c r="B153" t="s">
        <v>401</v>
      </c>
      <c r="C153">
        <v>101</v>
      </c>
      <c r="D153" t="str">
        <f t="shared" si="3"/>
        <v>ENM0027FST_Start_101</v>
      </c>
      <c r="E153">
        <v>44</v>
      </c>
    </row>
    <row r="154" spans="1:5" x14ac:dyDescent="0.2">
      <c r="A154" t="s">
        <v>416</v>
      </c>
      <c r="B154" t="s">
        <v>401</v>
      </c>
      <c r="C154">
        <v>101</v>
      </c>
      <c r="D154" t="str">
        <f t="shared" si="3"/>
        <v>ENM0027FST_Start_101</v>
      </c>
      <c r="E154">
        <v>45</v>
      </c>
    </row>
    <row r="155" spans="1:5" x14ac:dyDescent="0.2">
      <c r="A155" t="s">
        <v>416</v>
      </c>
      <c r="B155" t="s">
        <v>401</v>
      </c>
      <c r="C155">
        <v>101</v>
      </c>
      <c r="D155" t="str">
        <f t="shared" si="3"/>
        <v>ENM0027FST_Start_101</v>
      </c>
      <c r="E155">
        <v>43</v>
      </c>
    </row>
    <row r="156" spans="1:5" x14ac:dyDescent="0.2">
      <c r="A156" t="s">
        <v>416</v>
      </c>
      <c r="B156" t="s">
        <v>401</v>
      </c>
      <c r="C156">
        <v>101</v>
      </c>
      <c r="D156" t="str">
        <f t="shared" si="3"/>
        <v>ENM0027FST_Start_101</v>
      </c>
      <c r="E156">
        <v>42</v>
      </c>
    </row>
    <row r="157" spans="1:5" x14ac:dyDescent="0.2">
      <c r="A157" t="s">
        <v>416</v>
      </c>
      <c r="B157" t="s">
        <v>401</v>
      </c>
      <c r="C157">
        <v>101</v>
      </c>
      <c r="D157" t="str">
        <f t="shared" si="3"/>
        <v>ENM0027FST_Start_101</v>
      </c>
      <c r="E157">
        <v>42</v>
      </c>
    </row>
    <row r="158" spans="1:5" x14ac:dyDescent="0.2">
      <c r="A158" t="s">
        <v>416</v>
      </c>
      <c r="B158" t="s">
        <v>401</v>
      </c>
      <c r="C158">
        <v>101</v>
      </c>
      <c r="D158" t="str">
        <f t="shared" si="3"/>
        <v>ENM0027FST_Start_101</v>
      </c>
      <c r="E158">
        <v>43</v>
      </c>
    </row>
    <row r="159" spans="1:5" x14ac:dyDescent="0.2">
      <c r="A159" t="s">
        <v>416</v>
      </c>
      <c r="B159" t="s">
        <v>401</v>
      </c>
      <c r="C159">
        <v>101</v>
      </c>
      <c r="D159" t="str">
        <f t="shared" si="3"/>
        <v>ENM0027FST_Start_101</v>
      </c>
      <c r="E159">
        <v>44</v>
      </c>
    </row>
    <row r="160" spans="1:5" x14ac:dyDescent="0.2">
      <c r="A160" t="s">
        <v>416</v>
      </c>
      <c r="B160" t="s">
        <v>401</v>
      </c>
      <c r="C160">
        <v>101</v>
      </c>
      <c r="D160" t="str">
        <f t="shared" si="3"/>
        <v>ENM0027FST_Start_101</v>
      </c>
      <c r="E160">
        <v>45</v>
      </c>
    </row>
    <row r="161" spans="1:5" x14ac:dyDescent="0.2">
      <c r="A161" t="s">
        <v>416</v>
      </c>
      <c r="B161" t="s">
        <v>401</v>
      </c>
      <c r="C161">
        <v>101</v>
      </c>
      <c r="D161" t="str">
        <f t="shared" si="3"/>
        <v>ENM0027FST_Start_101</v>
      </c>
      <c r="E161">
        <v>45</v>
      </c>
    </row>
    <row r="162" spans="1:5" x14ac:dyDescent="0.2">
      <c r="A162" t="s">
        <v>416</v>
      </c>
      <c r="B162" t="s">
        <v>401</v>
      </c>
      <c r="C162">
        <v>101</v>
      </c>
      <c r="D162" t="str">
        <f t="shared" si="3"/>
        <v>ENM0027FST_Start_101</v>
      </c>
      <c r="E162">
        <v>43</v>
      </c>
    </row>
    <row r="163" spans="1:5" x14ac:dyDescent="0.2">
      <c r="A163" t="s">
        <v>416</v>
      </c>
      <c r="B163" t="s">
        <v>401</v>
      </c>
      <c r="C163">
        <v>101</v>
      </c>
      <c r="D163" t="str">
        <f t="shared" si="3"/>
        <v>ENM0027FST_Start_101</v>
      </c>
      <c r="E163">
        <v>44</v>
      </c>
    </row>
    <row r="164" spans="1:5" x14ac:dyDescent="0.2">
      <c r="A164" t="s">
        <v>416</v>
      </c>
      <c r="B164" t="s">
        <v>380</v>
      </c>
      <c r="C164">
        <v>101</v>
      </c>
      <c r="D164" t="str">
        <f t="shared" si="3"/>
        <v>ENM0027FST_End_101</v>
      </c>
      <c r="E164">
        <v>-41</v>
      </c>
    </row>
    <row r="165" spans="1:5" x14ac:dyDescent="0.2">
      <c r="A165" t="s">
        <v>416</v>
      </c>
      <c r="B165" t="s">
        <v>380</v>
      </c>
      <c r="C165">
        <v>101</v>
      </c>
      <c r="D165" t="str">
        <f t="shared" si="3"/>
        <v>ENM0027FST_End_101</v>
      </c>
      <c r="E165">
        <v>-41</v>
      </c>
    </row>
    <row r="166" spans="1:5" x14ac:dyDescent="0.2">
      <c r="A166" t="s">
        <v>416</v>
      </c>
      <c r="B166" t="s">
        <v>380</v>
      </c>
      <c r="C166">
        <v>101</v>
      </c>
      <c r="D166" t="str">
        <f t="shared" si="3"/>
        <v>ENM0027FST_End_101</v>
      </c>
      <c r="E166">
        <v>-46</v>
      </c>
    </row>
    <row r="167" spans="1:5" x14ac:dyDescent="0.2">
      <c r="A167" t="s">
        <v>416</v>
      </c>
      <c r="B167" t="s">
        <v>380</v>
      </c>
      <c r="C167">
        <v>101</v>
      </c>
      <c r="D167" t="str">
        <f t="shared" si="3"/>
        <v>ENM0027FST_End_101</v>
      </c>
      <c r="E167">
        <v>-43</v>
      </c>
    </row>
    <row r="168" spans="1:5" x14ac:dyDescent="0.2">
      <c r="A168" t="s">
        <v>416</v>
      </c>
      <c r="B168" t="s">
        <v>380</v>
      </c>
      <c r="C168">
        <v>101</v>
      </c>
      <c r="D168" t="str">
        <f t="shared" si="3"/>
        <v>ENM0027FST_End_101</v>
      </c>
      <c r="E168">
        <v>-42</v>
      </c>
    </row>
    <row r="169" spans="1:5" x14ac:dyDescent="0.2">
      <c r="A169" t="s">
        <v>416</v>
      </c>
      <c r="B169" t="s">
        <v>380</v>
      </c>
      <c r="C169">
        <v>101</v>
      </c>
      <c r="D169" t="str">
        <f t="shared" si="3"/>
        <v>ENM0027FST_End_101</v>
      </c>
      <c r="E169">
        <v>-45</v>
      </c>
    </row>
    <row r="170" spans="1:5" x14ac:dyDescent="0.2">
      <c r="A170" t="s">
        <v>416</v>
      </c>
      <c r="B170" t="s">
        <v>380</v>
      </c>
      <c r="C170">
        <v>101</v>
      </c>
      <c r="D170" t="str">
        <f t="shared" si="3"/>
        <v>ENM0027FST_End_101</v>
      </c>
      <c r="E170">
        <v>-42</v>
      </c>
    </row>
    <row r="171" spans="1:5" x14ac:dyDescent="0.2">
      <c r="A171" t="s">
        <v>416</v>
      </c>
      <c r="B171" t="s">
        <v>380</v>
      </c>
      <c r="C171">
        <v>101</v>
      </c>
      <c r="D171" t="str">
        <f t="shared" si="3"/>
        <v>ENM0027FST_End_101</v>
      </c>
      <c r="E171">
        <v>-46</v>
      </c>
    </row>
    <row r="172" spans="1:5" x14ac:dyDescent="0.2">
      <c r="A172" t="s">
        <v>416</v>
      </c>
      <c r="B172" t="s">
        <v>380</v>
      </c>
      <c r="C172">
        <v>101</v>
      </c>
      <c r="D172" t="str">
        <f t="shared" si="3"/>
        <v>ENM0027FST_End_101</v>
      </c>
      <c r="E172">
        <v>-43</v>
      </c>
    </row>
    <row r="173" spans="1:5" x14ac:dyDescent="0.2">
      <c r="A173" t="s">
        <v>416</v>
      </c>
      <c r="B173" t="s">
        <v>380</v>
      </c>
      <c r="C173">
        <v>101</v>
      </c>
      <c r="D173" t="str">
        <f t="shared" si="3"/>
        <v>ENM0027FST_End_101</v>
      </c>
      <c r="E173">
        <v>-40</v>
      </c>
    </row>
    <row r="174" spans="1:5" x14ac:dyDescent="0.2">
      <c r="A174" t="s">
        <v>416</v>
      </c>
      <c r="B174" t="s">
        <v>380</v>
      </c>
      <c r="C174">
        <v>101</v>
      </c>
      <c r="D174" t="str">
        <f t="shared" si="3"/>
        <v>ENM0027FST_End_101</v>
      </c>
      <c r="E174">
        <v>-46</v>
      </c>
    </row>
    <row r="175" spans="1:5" x14ac:dyDescent="0.2">
      <c r="A175" t="s">
        <v>416</v>
      </c>
      <c r="B175" t="s">
        <v>380</v>
      </c>
      <c r="C175">
        <v>101</v>
      </c>
      <c r="D175" t="str">
        <f t="shared" si="3"/>
        <v>ENM0027FST_End_101</v>
      </c>
      <c r="E175">
        <v>-45</v>
      </c>
    </row>
    <row r="176" spans="1:5" x14ac:dyDescent="0.2">
      <c r="A176" t="s">
        <v>416</v>
      </c>
      <c r="B176" t="s">
        <v>380</v>
      </c>
      <c r="C176">
        <v>101</v>
      </c>
      <c r="D176" t="str">
        <f t="shared" si="3"/>
        <v>ENM0027FST_End_101</v>
      </c>
      <c r="E176">
        <v>-44</v>
      </c>
    </row>
    <row r="177" spans="1:5" x14ac:dyDescent="0.2">
      <c r="A177" t="s">
        <v>416</v>
      </c>
      <c r="B177" t="s">
        <v>380</v>
      </c>
      <c r="C177">
        <v>101</v>
      </c>
      <c r="D177" t="str">
        <f t="shared" si="3"/>
        <v>ENM0027FST_End_101</v>
      </c>
      <c r="E177">
        <v>-44</v>
      </c>
    </row>
    <row r="178" spans="1:5" x14ac:dyDescent="0.2">
      <c r="A178" t="s">
        <v>416</v>
      </c>
      <c r="B178" t="s">
        <v>380</v>
      </c>
      <c r="C178">
        <v>101</v>
      </c>
      <c r="D178" t="str">
        <f t="shared" si="3"/>
        <v>ENM0027FST_End_101</v>
      </c>
      <c r="E178">
        <v>-47</v>
      </c>
    </row>
    <row r="179" spans="1:5" x14ac:dyDescent="0.2">
      <c r="A179" t="s">
        <v>416</v>
      </c>
      <c r="B179" t="s">
        <v>380</v>
      </c>
      <c r="C179">
        <v>101</v>
      </c>
      <c r="D179" t="str">
        <f t="shared" si="3"/>
        <v>ENM0027FST_End_101</v>
      </c>
      <c r="E179">
        <v>-41</v>
      </c>
    </row>
    <row r="180" spans="1:5" x14ac:dyDescent="0.2">
      <c r="A180" t="s">
        <v>416</v>
      </c>
      <c r="B180" t="s">
        <v>380</v>
      </c>
      <c r="C180">
        <v>101</v>
      </c>
      <c r="D180" t="str">
        <f t="shared" si="3"/>
        <v>ENM0027FST_End_101</v>
      </c>
      <c r="E180">
        <v>-46</v>
      </c>
    </row>
    <row r="181" spans="1:5" x14ac:dyDescent="0.2">
      <c r="A181" t="s">
        <v>416</v>
      </c>
      <c r="B181" t="s">
        <v>380</v>
      </c>
      <c r="C181">
        <v>101</v>
      </c>
      <c r="D181" t="str">
        <f t="shared" si="3"/>
        <v>ENM0027FST_End_101</v>
      </c>
      <c r="E181">
        <v>-43</v>
      </c>
    </row>
    <row r="182" spans="1:5" x14ac:dyDescent="0.2">
      <c r="A182" t="s">
        <v>416</v>
      </c>
      <c r="B182" t="s">
        <v>380</v>
      </c>
      <c r="C182">
        <v>101</v>
      </c>
      <c r="D182" t="str">
        <f t="shared" si="3"/>
        <v>ENM0027FST_End_101</v>
      </c>
      <c r="E182">
        <v>-38</v>
      </c>
    </row>
    <row r="183" spans="1:5" x14ac:dyDescent="0.2">
      <c r="A183" t="s">
        <v>416</v>
      </c>
      <c r="B183" t="s">
        <v>380</v>
      </c>
      <c r="C183">
        <v>101</v>
      </c>
      <c r="D183" t="str">
        <f t="shared" si="3"/>
        <v>ENM0027FST_End_101</v>
      </c>
      <c r="E183">
        <v>-41</v>
      </c>
    </row>
    <row r="184" spans="1:5" x14ac:dyDescent="0.2">
      <c r="A184" t="s">
        <v>416</v>
      </c>
      <c r="B184" t="s">
        <v>380</v>
      </c>
      <c r="C184">
        <v>101</v>
      </c>
      <c r="D184" t="str">
        <f t="shared" si="3"/>
        <v>ENM0027FST_End_101</v>
      </c>
      <c r="E184">
        <v>-40</v>
      </c>
    </row>
    <row r="185" spans="1:5" x14ac:dyDescent="0.2">
      <c r="A185" t="s">
        <v>416</v>
      </c>
      <c r="B185" t="s">
        <v>380</v>
      </c>
      <c r="C185">
        <v>101</v>
      </c>
      <c r="D185" t="str">
        <f t="shared" si="3"/>
        <v>ENM0027FST_End_101</v>
      </c>
      <c r="E185">
        <v>-42</v>
      </c>
    </row>
    <row r="186" spans="1:5" x14ac:dyDescent="0.2">
      <c r="A186" t="s">
        <v>416</v>
      </c>
      <c r="B186" t="s">
        <v>380</v>
      </c>
      <c r="C186">
        <v>101</v>
      </c>
      <c r="D186" t="str">
        <f t="shared" si="3"/>
        <v>ENM0027FST_End_101</v>
      </c>
      <c r="E186">
        <v>-43</v>
      </c>
    </row>
    <row r="187" spans="1:5" x14ac:dyDescent="0.2">
      <c r="A187" t="s">
        <v>416</v>
      </c>
      <c r="B187" t="s">
        <v>380</v>
      </c>
      <c r="C187">
        <v>101</v>
      </c>
      <c r="D187" t="str">
        <f t="shared" si="3"/>
        <v>ENM0027FST_End_101</v>
      </c>
      <c r="E187">
        <v>-44</v>
      </c>
    </row>
    <row r="188" spans="1:5" x14ac:dyDescent="0.2">
      <c r="A188" t="s">
        <v>416</v>
      </c>
      <c r="B188" t="s">
        <v>380</v>
      </c>
      <c r="C188">
        <v>101</v>
      </c>
      <c r="D188" t="str">
        <f t="shared" si="3"/>
        <v>ENM0027FST_End_101</v>
      </c>
      <c r="E188">
        <v>-45</v>
      </c>
    </row>
    <row r="189" spans="1:5" x14ac:dyDescent="0.2">
      <c r="A189" t="s">
        <v>416</v>
      </c>
      <c r="B189" t="s">
        <v>380</v>
      </c>
      <c r="C189">
        <v>101</v>
      </c>
      <c r="D189" t="str">
        <f t="shared" si="3"/>
        <v>ENM0027FST_End_101</v>
      </c>
      <c r="E189">
        <v>-46</v>
      </c>
    </row>
    <row r="190" spans="1:5" x14ac:dyDescent="0.2">
      <c r="A190" t="s">
        <v>416</v>
      </c>
      <c r="B190" t="s">
        <v>380</v>
      </c>
      <c r="C190">
        <v>101</v>
      </c>
      <c r="D190" t="str">
        <f t="shared" si="3"/>
        <v>ENM0027FST_End_101</v>
      </c>
      <c r="E190">
        <v>-40</v>
      </c>
    </row>
    <row r="191" spans="1:5" x14ac:dyDescent="0.2">
      <c r="A191" t="s">
        <v>416</v>
      </c>
      <c r="B191" t="s">
        <v>380</v>
      </c>
      <c r="C191">
        <v>101</v>
      </c>
      <c r="D191" t="str">
        <f t="shared" si="3"/>
        <v>ENM0027FST_End_101</v>
      </c>
      <c r="E191">
        <v>-45</v>
      </c>
    </row>
    <row r="192" spans="1:5" x14ac:dyDescent="0.2">
      <c r="A192" t="s">
        <v>416</v>
      </c>
      <c r="B192" t="s">
        <v>380</v>
      </c>
      <c r="C192">
        <v>101</v>
      </c>
      <c r="D192" t="str">
        <f t="shared" si="3"/>
        <v>ENM0027FST_End_101</v>
      </c>
      <c r="E192">
        <v>-41</v>
      </c>
    </row>
    <row r="193" spans="1:5" x14ac:dyDescent="0.2">
      <c r="A193" t="s">
        <v>416</v>
      </c>
      <c r="B193" t="s">
        <v>380</v>
      </c>
      <c r="C193">
        <v>101</v>
      </c>
      <c r="D193" t="str">
        <f t="shared" si="3"/>
        <v>ENM0027FST_End_101</v>
      </c>
      <c r="E193">
        <v>-38</v>
      </c>
    </row>
    <row r="194" spans="1:5" x14ac:dyDescent="0.2">
      <c r="A194" t="s">
        <v>416</v>
      </c>
      <c r="B194" t="s">
        <v>401</v>
      </c>
      <c r="C194">
        <v>41</v>
      </c>
      <c r="D194" t="str">
        <f t="shared" si="3"/>
        <v>ENM0027FST_Start_41</v>
      </c>
      <c r="E194">
        <v>17</v>
      </c>
    </row>
    <row r="195" spans="1:5" x14ac:dyDescent="0.2">
      <c r="A195" t="s">
        <v>416</v>
      </c>
      <c r="B195" t="s">
        <v>401</v>
      </c>
      <c r="C195">
        <v>41</v>
      </c>
      <c r="D195" t="str">
        <f t="shared" ref="D195:D258" si="4">A195&amp;"_"&amp;B195&amp;"_"&amp;C195</f>
        <v>ENM0027FST_Start_41</v>
      </c>
      <c r="E195">
        <v>12</v>
      </c>
    </row>
    <row r="196" spans="1:5" x14ac:dyDescent="0.2">
      <c r="A196" t="s">
        <v>416</v>
      </c>
      <c r="B196" t="s">
        <v>401</v>
      </c>
      <c r="C196">
        <v>41</v>
      </c>
      <c r="D196" t="str">
        <f t="shared" si="4"/>
        <v>ENM0027FST_Start_41</v>
      </c>
      <c r="E196">
        <v>15</v>
      </c>
    </row>
    <row r="197" spans="1:5" x14ac:dyDescent="0.2">
      <c r="A197" t="s">
        <v>416</v>
      </c>
      <c r="B197" t="s">
        <v>401</v>
      </c>
      <c r="C197">
        <v>41</v>
      </c>
      <c r="D197" t="str">
        <f t="shared" si="4"/>
        <v>ENM0027FST_Start_41</v>
      </c>
      <c r="E197">
        <v>15</v>
      </c>
    </row>
    <row r="198" spans="1:5" x14ac:dyDescent="0.2">
      <c r="A198" t="s">
        <v>416</v>
      </c>
      <c r="B198" t="s">
        <v>401</v>
      </c>
      <c r="C198">
        <v>41</v>
      </c>
      <c r="D198" t="str">
        <f t="shared" si="4"/>
        <v>ENM0027FST_Start_41</v>
      </c>
      <c r="E198">
        <v>16</v>
      </c>
    </row>
    <row r="199" spans="1:5" x14ac:dyDescent="0.2">
      <c r="A199" t="s">
        <v>416</v>
      </c>
      <c r="B199" t="s">
        <v>401</v>
      </c>
      <c r="C199">
        <v>41</v>
      </c>
      <c r="D199" t="str">
        <f t="shared" si="4"/>
        <v>ENM0027FST_Start_41</v>
      </c>
      <c r="E199">
        <v>14</v>
      </c>
    </row>
    <row r="200" spans="1:5" x14ac:dyDescent="0.2">
      <c r="A200" t="s">
        <v>416</v>
      </c>
      <c r="B200" t="s">
        <v>401</v>
      </c>
      <c r="C200">
        <v>41</v>
      </c>
      <c r="D200" t="str">
        <f t="shared" si="4"/>
        <v>ENM0027FST_Start_41</v>
      </c>
      <c r="E200">
        <v>15</v>
      </c>
    </row>
    <row r="201" spans="1:5" x14ac:dyDescent="0.2">
      <c r="A201" t="s">
        <v>416</v>
      </c>
      <c r="B201" t="s">
        <v>401</v>
      </c>
      <c r="C201">
        <v>41</v>
      </c>
      <c r="D201" t="str">
        <f t="shared" si="4"/>
        <v>ENM0027FST_Start_41</v>
      </c>
      <c r="E201">
        <v>15</v>
      </c>
    </row>
    <row r="202" spans="1:5" x14ac:dyDescent="0.2">
      <c r="A202" t="s">
        <v>416</v>
      </c>
      <c r="B202" t="s">
        <v>401</v>
      </c>
      <c r="C202">
        <v>41</v>
      </c>
      <c r="D202" t="str">
        <f t="shared" si="4"/>
        <v>ENM0027FST_Start_41</v>
      </c>
      <c r="E202">
        <v>-8</v>
      </c>
    </row>
    <row r="203" spans="1:5" x14ac:dyDescent="0.2">
      <c r="A203" t="s">
        <v>416</v>
      </c>
      <c r="B203" t="s">
        <v>401</v>
      </c>
      <c r="C203">
        <v>41</v>
      </c>
      <c r="D203" t="str">
        <f t="shared" si="4"/>
        <v>ENM0027FST_Start_41</v>
      </c>
      <c r="E203">
        <v>15</v>
      </c>
    </row>
    <row r="204" spans="1:5" x14ac:dyDescent="0.2">
      <c r="A204" t="s">
        <v>416</v>
      </c>
      <c r="B204" t="s">
        <v>401</v>
      </c>
      <c r="C204">
        <v>41</v>
      </c>
      <c r="D204" t="str">
        <f t="shared" si="4"/>
        <v>ENM0027FST_Start_41</v>
      </c>
      <c r="E204">
        <v>15</v>
      </c>
    </row>
    <row r="205" spans="1:5" x14ac:dyDescent="0.2">
      <c r="A205" t="s">
        <v>416</v>
      </c>
      <c r="B205" t="s">
        <v>401</v>
      </c>
      <c r="C205">
        <v>41</v>
      </c>
      <c r="D205" t="str">
        <f t="shared" si="4"/>
        <v>ENM0027FST_Start_41</v>
      </c>
      <c r="E205">
        <v>15</v>
      </c>
    </row>
    <row r="206" spans="1:5" x14ac:dyDescent="0.2">
      <c r="A206" t="s">
        <v>416</v>
      </c>
      <c r="B206" t="s">
        <v>401</v>
      </c>
      <c r="C206">
        <v>41</v>
      </c>
      <c r="D206" t="str">
        <f t="shared" si="4"/>
        <v>ENM0027FST_Start_41</v>
      </c>
      <c r="E206">
        <v>16</v>
      </c>
    </row>
    <row r="207" spans="1:5" x14ac:dyDescent="0.2">
      <c r="A207" t="s">
        <v>416</v>
      </c>
      <c r="B207" t="s">
        <v>401</v>
      </c>
      <c r="C207">
        <v>41</v>
      </c>
      <c r="D207" t="str">
        <f t="shared" si="4"/>
        <v>ENM0027FST_Start_41</v>
      </c>
      <c r="E207">
        <v>14</v>
      </c>
    </row>
    <row r="208" spans="1:5" x14ac:dyDescent="0.2">
      <c r="A208" t="s">
        <v>416</v>
      </c>
      <c r="B208" t="s">
        <v>401</v>
      </c>
      <c r="C208">
        <v>41</v>
      </c>
      <c r="D208" t="str">
        <f t="shared" si="4"/>
        <v>ENM0027FST_Start_41</v>
      </c>
      <c r="E208">
        <v>14</v>
      </c>
    </row>
    <row r="209" spans="1:5" x14ac:dyDescent="0.2">
      <c r="A209" t="s">
        <v>416</v>
      </c>
      <c r="B209" t="s">
        <v>401</v>
      </c>
      <c r="C209">
        <v>41</v>
      </c>
      <c r="D209" t="str">
        <f t="shared" si="4"/>
        <v>ENM0027FST_Start_41</v>
      </c>
      <c r="E209">
        <v>14</v>
      </c>
    </row>
    <row r="210" spans="1:5" x14ac:dyDescent="0.2">
      <c r="A210" t="s">
        <v>416</v>
      </c>
      <c r="B210" t="s">
        <v>401</v>
      </c>
      <c r="C210">
        <v>41</v>
      </c>
      <c r="D210" t="str">
        <f t="shared" si="4"/>
        <v>ENM0027FST_Start_41</v>
      </c>
      <c r="E210">
        <v>14</v>
      </c>
    </row>
    <row r="211" spans="1:5" x14ac:dyDescent="0.2">
      <c r="A211" t="s">
        <v>416</v>
      </c>
      <c r="B211" t="s">
        <v>401</v>
      </c>
      <c r="C211">
        <v>41</v>
      </c>
      <c r="D211" t="str">
        <f t="shared" si="4"/>
        <v>ENM0027FST_Start_41</v>
      </c>
      <c r="E211">
        <v>15</v>
      </c>
    </row>
    <row r="212" spans="1:5" x14ac:dyDescent="0.2">
      <c r="A212" t="s">
        <v>416</v>
      </c>
      <c r="B212" t="s">
        <v>401</v>
      </c>
      <c r="C212">
        <v>41</v>
      </c>
      <c r="D212" t="str">
        <f t="shared" si="4"/>
        <v>ENM0027FST_Start_41</v>
      </c>
      <c r="E212">
        <v>14</v>
      </c>
    </row>
    <row r="213" spans="1:5" x14ac:dyDescent="0.2">
      <c r="A213" t="s">
        <v>416</v>
      </c>
      <c r="B213" t="s">
        <v>401</v>
      </c>
      <c r="C213">
        <v>41</v>
      </c>
      <c r="D213" t="str">
        <f t="shared" si="4"/>
        <v>ENM0027FST_Start_41</v>
      </c>
      <c r="E213">
        <v>13</v>
      </c>
    </row>
    <row r="214" spans="1:5" x14ac:dyDescent="0.2">
      <c r="A214" t="s">
        <v>416</v>
      </c>
      <c r="B214" t="s">
        <v>401</v>
      </c>
      <c r="C214">
        <v>41</v>
      </c>
      <c r="D214" t="str">
        <f t="shared" si="4"/>
        <v>ENM0027FST_Start_41</v>
      </c>
      <c r="E214">
        <v>14</v>
      </c>
    </row>
    <row r="215" spans="1:5" x14ac:dyDescent="0.2">
      <c r="A215" t="s">
        <v>416</v>
      </c>
      <c r="B215" t="s">
        <v>401</v>
      </c>
      <c r="C215">
        <v>41</v>
      </c>
      <c r="D215" t="str">
        <f t="shared" si="4"/>
        <v>ENM0027FST_Start_41</v>
      </c>
      <c r="E215">
        <v>15</v>
      </c>
    </row>
    <row r="216" spans="1:5" x14ac:dyDescent="0.2">
      <c r="A216" t="s">
        <v>416</v>
      </c>
      <c r="B216" t="s">
        <v>401</v>
      </c>
      <c r="C216">
        <v>41</v>
      </c>
      <c r="D216" t="str">
        <f t="shared" si="4"/>
        <v>ENM0027FST_Start_41</v>
      </c>
      <c r="E216">
        <v>15</v>
      </c>
    </row>
    <row r="217" spans="1:5" x14ac:dyDescent="0.2">
      <c r="A217" t="s">
        <v>416</v>
      </c>
      <c r="B217" t="s">
        <v>401</v>
      </c>
      <c r="C217">
        <v>41</v>
      </c>
      <c r="D217" t="str">
        <f t="shared" si="4"/>
        <v>ENM0027FST_Start_41</v>
      </c>
      <c r="E217">
        <v>16</v>
      </c>
    </row>
    <row r="218" spans="1:5" x14ac:dyDescent="0.2">
      <c r="A218" t="s">
        <v>416</v>
      </c>
      <c r="B218" t="s">
        <v>401</v>
      </c>
      <c r="C218">
        <v>41</v>
      </c>
      <c r="D218" t="str">
        <f t="shared" si="4"/>
        <v>ENM0027FST_Start_41</v>
      </c>
      <c r="E218">
        <v>15</v>
      </c>
    </row>
    <row r="219" spans="1:5" x14ac:dyDescent="0.2">
      <c r="A219" t="s">
        <v>416</v>
      </c>
      <c r="B219" t="s">
        <v>401</v>
      </c>
      <c r="C219">
        <v>41</v>
      </c>
      <c r="D219" t="str">
        <f t="shared" si="4"/>
        <v>ENM0027FST_Start_41</v>
      </c>
      <c r="E219">
        <v>16</v>
      </c>
    </row>
    <row r="220" spans="1:5" x14ac:dyDescent="0.2">
      <c r="A220" t="s">
        <v>416</v>
      </c>
      <c r="B220" t="s">
        <v>401</v>
      </c>
      <c r="C220">
        <v>41</v>
      </c>
      <c r="D220" t="str">
        <f t="shared" si="4"/>
        <v>ENM0027FST_Start_41</v>
      </c>
      <c r="E220">
        <v>15</v>
      </c>
    </row>
    <row r="221" spans="1:5" x14ac:dyDescent="0.2">
      <c r="A221" t="s">
        <v>416</v>
      </c>
      <c r="B221" t="s">
        <v>401</v>
      </c>
      <c r="C221">
        <v>41</v>
      </c>
      <c r="D221" t="str">
        <f t="shared" si="4"/>
        <v>ENM0027FST_Start_41</v>
      </c>
      <c r="E221">
        <v>17</v>
      </c>
    </row>
    <row r="222" spans="1:5" x14ac:dyDescent="0.2">
      <c r="A222" t="s">
        <v>416</v>
      </c>
      <c r="B222" t="s">
        <v>401</v>
      </c>
      <c r="C222">
        <v>41</v>
      </c>
      <c r="D222" t="str">
        <f t="shared" si="4"/>
        <v>ENM0027FST_Start_41</v>
      </c>
      <c r="E222">
        <v>15</v>
      </c>
    </row>
    <row r="223" spans="1:5" x14ac:dyDescent="0.2">
      <c r="A223" t="s">
        <v>416</v>
      </c>
      <c r="B223" t="s">
        <v>401</v>
      </c>
      <c r="C223">
        <v>41</v>
      </c>
      <c r="D223" t="str">
        <f t="shared" si="4"/>
        <v>ENM0027FST_Start_41</v>
      </c>
      <c r="E223">
        <v>13</v>
      </c>
    </row>
    <row r="224" spans="1:5" x14ac:dyDescent="0.2">
      <c r="A224" t="s">
        <v>416</v>
      </c>
      <c r="B224" t="s">
        <v>380</v>
      </c>
      <c r="C224">
        <v>41</v>
      </c>
      <c r="D224" t="str">
        <f t="shared" si="4"/>
        <v>ENM0027FST_End_41</v>
      </c>
      <c r="E224">
        <v>-11</v>
      </c>
    </row>
    <row r="225" spans="1:5" x14ac:dyDescent="0.2">
      <c r="A225" t="s">
        <v>416</v>
      </c>
      <c r="B225" t="s">
        <v>380</v>
      </c>
      <c r="C225">
        <v>41</v>
      </c>
      <c r="D225" t="str">
        <f t="shared" si="4"/>
        <v>ENM0027FST_End_41</v>
      </c>
      <c r="E225">
        <v>-11</v>
      </c>
    </row>
    <row r="226" spans="1:5" x14ac:dyDescent="0.2">
      <c r="A226" t="s">
        <v>416</v>
      </c>
      <c r="B226" t="s">
        <v>380</v>
      </c>
      <c r="C226">
        <v>41</v>
      </c>
      <c r="D226" t="str">
        <f t="shared" si="4"/>
        <v>ENM0027FST_End_41</v>
      </c>
      <c r="E226">
        <v>-16</v>
      </c>
    </row>
    <row r="227" spans="1:5" x14ac:dyDescent="0.2">
      <c r="A227" t="s">
        <v>416</v>
      </c>
      <c r="B227" t="s">
        <v>380</v>
      </c>
      <c r="C227">
        <v>41</v>
      </c>
      <c r="D227" t="str">
        <f t="shared" si="4"/>
        <v>ENM0027FST_End_41</v>
      </c>
      <c r="E227">
        <v>-13</v>
      </c>
    </row>
    <row r="228" spans="1:5" x14ac:dyDescent="0.2">
      <c r="A228" t="s">
        <v>416</v>
      </c>
      <c r="B228" t="s">
        <v>380</v>
      </c>
      <c r="C228">
        <v>41</v>
      </c>
      <c r="D228" t="str">
        <f t="shared" si="4"/>
        <v>ENM0027FST_End_41</v>
      </c>
      <c r="E228">
        <v>-13</v>
      </c>
    </row>
    <row r="229" spans="1:5" x14ac:dyDescent="0.2">
      <c r="A229" t="s">
        <v>416</v>
      </c>
      <c r="B229" t="s">
        <v>380</v>
      </c>
      <c r="C229">
        <v>41</v>
      </c>
      <c r="D229" t="str">
        <f t="shared" si="4"/>
        <v>ENM0027FST_End_41</v>
      </c>
      <c r="E229">
        <v>-14</v>
      </c>
    </row>
    <row r="230" spans="1:5" x14ac:dyDescent="0.2">
      <c r="A230" t="s">
        <v>416</v>
      </c>
      <c r="B230" t="s">
        <v>380</v>
      </c>
      <c r="C230">
        <v>41</v>
      </c>
      <c r="D230" t="str">
        <f t="shared" si="4"/>
        <v>ENM0027FST_End_41</v>
      </c>
      <c r="E230">
        <v>-12</v>
      </c>
    </row>
    <row r="231" spans="1:5" x14ac:dyDescent="0.2">
      <c r="A231" t="s">
        <v>416</v>
      </c>
      <c r="B231" t="s">
        <v>380</v>
      </c>
      <c r="C231">
        <v>41</v>
      </c>
      <c r="D231" t="str">
        <f t="shared" si="4"/>
        <v>ENM0027FST_End_41</v>
      </c>
      <c r="E231">
        <v>-17</v>
      </c>
    </row>
    <row r="232" spans="1:5" x14ac:dyDescent="0.2">
      <c r="A232" t="s">
        <v>416</v>
      </c>
      <c r="B232" t="s">
        <v>380</v>
      </c>
      <c r="C232">
        <v>41</v>
      </c>
      <c r="D232" t="str">
        <f t="shared" si="4"/>
        <v>ENM0027FST_End_41</v>
      </c>
      <c r="E232">
        <v>-11</v>
      </c>
    </row>
    <row r="233" spans="1:5" x14ac:dyDescent="0.2">
      <c r="A233" t="s">
        <v>416</v>
      </c>
      <c r="B233" t="s">
        <v>380</v>
      </c>
      <c r="C233">
        <v>41</v>
      </c>
      <c r="D233" t="str">
        <f t="shared" si="4"/>
        <v>ENM0027FST_End_41</v>
      </c>
      <c r="E233">
        <v>-9</v>
      </c>
    </row>
    <row r="234" spans="1:5" x14ac:dyDescent="0.2">
      <c r="A234" t="s">
        <v>416</v>
      </c>
      <c r="B234" t="s">
        <v>380</v>
      </c>
      <c r="C234">
        <v>41</v>
      </c>
      <c r="D234" t="str">
        <f t="shared" si="4"/>
        <v>ENM0027FST_End_41</v>
      </c>
      <c r="E234">
        <v>-13</v>
      </c>
    </row>
    <row r="235" spans="1:5" x14ac:dyDescent="0.2">
      <c r="A235" t="s">
        <v>416</v>
      </c>
      <c r="B235" t="s">
        <v>380</v>
      </c>
      <c r="C235">
        <v>41</v>
      </c>
      <c r="D235" t="str">
        <f t="shared" si="4"/>
        <v>ENM0027FST_End_41</v>
      </c>
      <c r="E235">
        <v>-14</v>
      </c>
    </row>
    <row r="236" spans="1:5" x14ac:dyDescent="0.2">
      <c r="A236" t="s">
        <v>416</v>
      </c>
      <c r="B236" t="s">
        <v>380</v>
      </c>
      <c r="C236">
        <v>41</v>
      </c>
      <c r="D236" t="str">
        <f t="shared" si="4"/>
        <v>ENM0027FST_End_41</v>
      </c>
      <c r="E236">
        <v>-14</v>
      </c>
    </row>
    <row r="237" spans="1:5" x14ac:dyDescent="0.2">
      <c r="A237" t="s">
        <v>416</v>
      </c>
      <c r="B237" t="s">
        <v>380</v>
      </c>
      <c r="C237">
        <v>41</v>
      </c>
      <c r="D237" t="str">
        <f t="shared" si="4"/>
        <v>ENM0027FST_End_41</v>
      </c>
      <c r="E237">
        <v>-14</v>
      </c>
    </row>
    <row r="238" spans="1:5" x14ac:dyDescent="0.2">
      <c r="A238" t="s">
        <v>416</v>
      </c>
      <c r="B238" t="s">
        <v>380</v>
      </c>
      <c r="C238">
        <v>41</v>
      </c>
      <c r="D238" t="str">
        <f t="shared" si="4"/>
        <v>ENM0027FST_End_41</v>
      </c>
      <c r="E238">
        <v>-15</v>
      </c>
    </row>
    <row r="239" spans="1:5" x14ac:dyDescent="0.2">
      <c r="A239" t="s">
        <v>416</v>
      </c>
      <c r="B239" t="s">
        <v>380</v>
      </c>
      <c r="C239">
        <v>41</v>
      </c>
      <c r="D239" t="str">
        <f t="shared" si="4"/>
        <v>ENM0027FST_End_41</v>
      </c>
      <c r="E239">
        <v>-11</v>
      </c>
    </row>
    <row r="240" spans="1:5" x14ac:dyDescent="0.2">
      <c r="A240" t="s">
        <v>416</v>
      </c>
      <c r="B240" t="s">
        <v>380</v>
      </c>
      <c r="C240">
        <v>41</v>
      </c>
      <c r="D240" t="str">
        <f t="shared" si="4"/>
        <v>ENM0027FST_End_41</v>
      </c>
      <c r="E240">
        <v>-13</v>
      </c>
    </row>
    <row r="241" spans="1:5" x14ac:dyDescent="0.2">
      <c r="A241" t="s">
        <v>416</v>
      </c>
      <c r="B241" t="s">
        <v>380</v>
      </c>
      <c r="C241">
        <v>41</v>
      </c>
      <c r="D241" t="str">
        <f t="shared" si="4"/>
        <v>ENM0027FST_End_41</v>
      </c>
      <c r="E241">
        <v>-11</v>
      </c>
    </row>
    <row r="242" spans="1:5" x14ac:dyDescent="0.2">
      <c r="A242" t="s">
        <v>416</v>
      </c>
      <c r="B242" t="s">
        <v>380</v>
      </c>
      <c r="C242">
        <v>41</v>
      </c>
      <c r="D242" t="str">
        <f t="shared" si="4"/>
        <v>ENM0027FST_End_41</v>
      </c>
      <c r="E242">
        <v>-7</v>
      </c>
    </row>
    <row r="243" spans="1:5" x14ac:dyDescent="0.2">
      <c r="A243" t="s">
        <v>416</v>
      </c>
      <c r="B243" t="s">
        <v>380</v>
      </c>
      <c r="C243">
        <v>41</v>
      </c>
      <c r="D243" t="str">
        <f t="shared" si="4"/>
        <v>ENM0027FST_End_41</v>
      </c>
      <c r="E243">
        <v>-11</v>
      </c>
    </row>
    <row r="244" spans="1:5" x14ac:dyDescent="0.2">
      <c r="A244" t="s">
        <v>416</v>
      </c>
      <c r="B244" t="s">
        <v>380</v>
      </c>
      <c r="C244">
        <v>41</v>
      </c>
      <c r="D244" t="str">
        <f t="shared" si="4"/>
        <v>ENM0027FST_End_41</v>
      </c>
      <c r="E244">
        <v>-10</v>
      </c>
    </row>
    <row r="245" spans="1:5" x14ac:dyDescent="0.2">
      <c r="A245" t="s">
        <v>416</v>
      </c>
      <c r="B245" t="s">
        <v>380</v>
      </c>
      <c r="C245">
        <v>41</v>
      </c>
      <c r="D245" t="str">
        <f t="shared" si="4"/>
        <v>ENM0027FST_End_41</v>
      </c>
      <c r="E245">
        <v>-12</v>
      </c>
    </row>
    <row r="246" spans="1:5" x14ac:dyDescent="0.2">
      <c r="A246" t="s">
        <v>416</v>
      </c>
      <c r="B246" t="s">
        <v>380</v>
      </c>
      <c r="C246">
        <v>41</v>
      </c>
      <c r="D246" t="str">
        <f t="shared" si="4"/>
        <v>ENM0027FST_End_41</v>
      </c>
      <c r="E246">
        <v>-14</v>
      </c>
    </row>
    <row r="247" spans="1:5" x14ac:dyDescent="0.2">
      <c r="A247" t="s">
        <v>416</v>
      </c>
      <c r="B247" t="s">
        <v>380</v>
      </c>
      <c r="C247">
        <v>41</v>
      </c>
      <c r="D247" t="str">
        <f t="shared" si="4"/>
        <v>ENM0027FST_End_41</v>
      </c>
      <c r="E247">
        <v>-13</v>
      </c>
    </row>
    <row r="248" spans="1:5" x14ac:dyDescent="0.2">
      <c r="A248" t="s">
        <v>416</v>
      </c>
      <c r="B248" t="s">
        <v>380</v>
      </c>
      <c r="C248">
        <v>41</v>
      </c>
      <c r="D248" t="str">
        <f t="shared" si="4"/>
        <v>ENM0027FST_End_41</v>
      </c>
      <c r="E248">
        <v>-15</v>
      </c>
    </row>
    <row r="249" spans="1:5" x14ac:dyDescent="0.2">
      <c r="A249" t="s">
        <v>416</v>
      </c>
      <c r="B249" t="s">
        <v>380</v>
      </c>
      <c r="C249">
        <v>41</v>
      </c>
      <c r="D249" t="str">
        <f t="shared" si="4"/>
        <v>ENM0027FST_End_41</v>
      </c>
      <c r="E249">
        <v>-14</v>
      </c>
    </row>
    <row r="250" spans="1:5" x14ac:dyDescent="0.2">
      <c r="A250" t="s">
        <v>416</v>
      </c>
      <c r="B250" t="s">
        <v>380</v>
      </c>
      <c r="C250">
        <v>41</v>
      </c>
      <c r="D250" t="str">
        <f t="shared" si="4"/>
        <v>ENM0027FST_End_41</v>
      </c>
      <c r="E250">
        <v>-10</v>
      </c>
    </row>
    <row r="251" spans="1:5" x14ac:dyDescent="0.2">
      <c r="A251" t="s">
        <v>416</v>
      </c>
      <c r="B251" t="s">
        <v>380</v>
      </c>
      <c r="C251">
        <v>41</v>
      </c>
      <c r="D251" t="str">
        <f t="shared" si="4"/>
        <v>ENM0027FST_End_41</v>
      </c>
      <c r="E251">
        <v>-16</v>
      </c>
    </row>
    <row r="252" spans="1:5" x14ac:dyDescent="0.2">
      <c r="A252" t="s">
        <v>416</v>
      </c>
      <c r="B252" t="s">
        <v>380</v>
      </c>
      <c r="C252">
        <v>41</v>
      </c>
      <c r="D252" t="str">
        <f t="shared" si="4"/>
        <v>ENM0027FST_End_41</v>
      </c>
      <c r="E252">
        <v>-9</v>
      </c>
    </row>
    <row r="253" spans="1:5" x14ac:dyDescent="0.2">
      <c r="A253" t="s">
        <v>416</v>
      </c>
      <c r="B253" t="s">
        <v>380</v>
      </c>
      <c r="C253">
        <v>41</v>
      </c>
      <c r="D253" t="str">
        <f t="shared" si="4"/>
        <v>ENM0027FST_End_41</v>
      </c>
      <c r="E253">
        <v>-9</v>
      </c>
    </row>
    <row r="254" spans="1:5" x14ac:dyDescent="0.2">
      <c r="A254" t="s">
        <v>426</v>
      </c>
      <c r="B254" t="s">
        <v>401</v>
      </c>
      <c r="C254">
        <v>101</v>
      </c>
      <c r="D254" t="str">
        <f t="shared" si="4"/>
        <v>EPS1454BTK_Start_101</v>
      </c>
      <c r="E254">
        <v>46</v>
      </c>
    </row>
    <row r="255" spans="1:5" x14ac:dyDescent="0.2">
      <c r="A255" t="s">
        <v>426</v>
      </c>
      <c r="B255" t="s">
        <v>401</v>
      </c>
      <c r="C255">
        <v>101</v>
      </c>
      <c r="D255" t="str">
        <f t="shared" si="4"/>
        <v>EPS1454BTK_Start_101</v>
      </c>
      <c r="E255">
        <v>48</v>
      </c>
    </row>
    <row r="256" spans="1:5" x14ac:dyDescent="0.2">
      <c r="A256" t="s">
        <v>426</v>
      </c>
      <c r="B256" t="s">
        <v>401</v>
      </c>
      <c r="C256">
        <v>101</v>
      </c>
      <c r="D256" t="str">
        <f t="shared" si="4"/>
        <v>EPS1454BTK_Start_101</v>
      </c>
      <c r="E256">
        <v>42</v>
      </c>
    </row>
    <row r="257" spans="1:5" x14ac:dyDescent="0.2">
      <c r="A257" t="s">
        <v>426</v>
      </c>
      <c r="B257" t="s">
        <v>401</v>
      </c>
      <c r="C257">
        <v>101</v>
      </c>
      <c r="D257" t="str">
        <f t="shared" si="4"/>
        <v>EPS1454BTK_Start_101</v>
      </c>
      <c r="E257">
        <v>40</v>
      </c>
    </row>
    <row r="258" spans="1:5" x14ac:dyDescent="0.2">
      <c r="A258" t="s">
        <v>426</v>
      </c>
      <c r="B258" t="s">
        <v>401</v>
      </c>
      <c r="C258">
        <v>101</v>
      </c>
      <c r="D258" t="str">
        <f t="shared" si="4"/>
        <v>EPS1454BTK_Start_101</v>
      </c>
      <c r="E258">
        <v>38</v>
      </c>
    </row>
    <row r="259" spans="1:5" x14ac:dyDescent="0.2">
      <c r="A259" t="s">
        <v>426</v>
      </c>
      <c r="B259" t="s">
        <v>401</v>
      </c>
      <c r="C259">
        <v>101</v>
      </c>
      <c r="D259" t="str">
        <f t="shared" ref="D259:D322" si="5">A259&amp;"_"&amp;B259&amp;"_"&amp;C259</f>
        <v>EPS1454BTK_Start_101</v>
      </c>
      <c r="E259">
        <v>45</v>
      </c>
    </row>
    <row r="260" spans="1:5" x14ac:dyDescent="0.2">
      <c r="A260" t="s">
        <v>426</v>
      </c>
      <c r="B260" t="s">
        <v>401</v>
      </c>
      <c r="C260">
        <v>101</v>
      </c>
      <c r="D260" t="str">
        <f t="shared" si="5"/>
        <v>EPS1454BTK_Start_101</v>
      </c>
      <c r="E260">
        <v>41</v>
      </c>
    </row>
    <row r="261" spans="1:5" x14ac:dyDescent="0.2">
      <c r="A261" t="s">
        <v>426</v>
      </c>
      <c r="B261" t="s">
        <v>401</v>
      </c>
      <c r="C261">
        <v>101</v>
      </c>
      <c r="D261" t="str">
        <f t="shared" si="5"/>
        <v>EPS1454BTK_Start_101</v>
      </c>
      <c r="E261">
        <v>41</v>
      </c>
    </row>
    <row r="262" spans="1:5" x14ac:dyDescent="0.2">
      <c r="A262" t="s">
        <v>426</v>
      </c>
      <c r="B262" t="s">
        <v>401</v>
      </c>
      <c r="C262">
        <v>101</v>
      </c>
      <c r="D262" t="str">
        <f t="shared" si="5"/>
        <v>EPS1454BTK_Start_101</v>
      </c>
      <c r="E262">
        <v>44</v>
      </c>
    </row>
    <row r="263" spans="1:5" x14ac:dyDescent="0.2">
      <c r="A263" t="s">
        <v>426</v>
      </c>
      <c r="B263" t="s">
        <v>401</v>
      </c>
      <c r="C263">
        <v>101</v>
      </c>
      <c r="D263" t="str">
        <f t="shared" si="5"/>
        <v>EPS1454BTK_Start_101</v>
      </c>
      <c r="E263">
        <v>39</v>
      </c>
    </row>
    <row r="264" spans="1:5" x14ac:dyDescent="0.2">
      <c r="A264" t="s">
        <v>426</v>
      </c>
      <c r="B264" t="s">
        <v>401</v>
      </c>
      <c r="C264">
        <v>101</v>
      </c>
      <c r="D264" t="str">
        <f t="shared" si="5"/>
        <v>EPS1454BTK_Start_101</v>
      </c>
      <c r="E264">
        <v>39</v>
      </c>
    </row>
    <row r="265" spans="1:5" x14ac:dyDescent="0.2">
      <c r="A265" t="s">
        <v>426</v>
      </c>
      <c r="B265" t="s">
        <v>401</v>
      </c>
      <c r="C265">
        <v>101</v>
      </c>
      <c r="D265" t="str">
        <f t="shared" si="5"/>
        <v>EPS1454BTK_Start_101</v>
      </c>
      <c r="E265">
        <v>41</v>
      </c>
    </row>
    <row r="266" spans="1:5" x14ac:dyDescent="0.2">
      <c r="A266" t="s">
        <v>426</v>
      </c>
      <c r="B266" t="s">
        <v>401</v>
      </c>
      <c r="C266">
        <v>101</v>
      </c>
      <c r="D266" t="str">
        <f t="shared" si="5"/>
        <v>EPS1454BTK_Start_101</v>
      </c>
      <c r="E266">
        <v>46</v>
      </c>
    </row>
    <row r="267" spans="1:5" x14ac:dyDescent="0.2">
      <c r="A267" t="s">
        <v>426</v>
      </c>
      <c r="B267" t="s">
        <v>401</v>
      </c>
      <c r="C267">
        <v>101</v>
      </c>
      <c r="D267" t="str">
        <f t="shared" si="5"/>
        <v>EPS1454BTK_Start_101</v>
      </c>
      <c r="E267">
        <v>39</v>
      </c>
    </row>
    <row r="268" spans="1:5" x14ac:dyDescent="0.2">
      <c r="A268" t="s">
        <v>426</v>
      </c>
      <c r="B268" t="s">
        <v>401</v>
      </c>
      <c r="C268">
        <v>101</v>
      </c>
      <c r="D268" t="str">
        <f t="shared" si="5"/>
        <v>EPS1454BTK_Start_101</v>
      </c>
      <c r="E268">
        <v>39</v>
      </c>
    </row>
    <row r="269" spans="1:5" x14ac:dyDescent="0.2">
      <c r="A269" t="s">
        <v>426</v>
      </c>
      <c r="B269" t="s">
        <v>401</v>
      </c>
      <c r="C269">
        <v>101</v>
      </c>
      <c r="D269" t="str">
        <f t="shared" si="5"/>
        <v>EPS1454BTK_Start_101</v>
      </c>
      <c r="E269">
        <v>40</v>
      </c>
    </row>
    <row r="270" spans="1:5" x14ac:dyDescent="0.2">
      <c r="A270" t="s">
        <v>426</v>
      </c>
      <c r="B270" t="s">
        <v>401</v>
      </c>
      <c r="C270">
        <v>101</v>
      </c>
      <c r="D270" t="str">
        <f t="shared" si="5"/>
        <v>EPS1454BTK_Start_101</v>
      </c>
      <c r="E270">
        <v>35</v>
      </c>
    </row>
    <row r="271" spans="1:5" x14ac:dyDescent="0.2">
      <c r="A271" t="s">
        <v>426</v>
      </c>
      <c r="B271" t="s">
        <v>401</v>
      </c>
      <c r="C271">
        <v>101</v>
      </c>
      <c r="D271" t="str">
        <f t="shared" si="5"/>
        <v>EPS1454BTK_Start_101</v>
      </c>
      <c r="E271">
        <v>43</v>
      </c>
    </row>
    <row r="272" spans="1:5" x14ac:dyDescent="0.2">
      <c r="A272" t="s">
        <v>426</v>
      </c>
      <c r="B272" t="s">
        <v>401</v>
      </c>
      <c r="C272">
        <v>101</v>
      </c>
      <c r="D272" t="str">
        <f t="shared" si="5"/>
        <v>EPS1454BTK_Start_101</v>
      </c>
      <c r="E272">
        <v>41</v>
      </c>
    </row>
    <row r="273" spans="1:5" x14ac:dyDescent="0.2">
      <c r="A273" t="s">
        <v>426</v>
      </c>
      <c r="B273" t="s">
        <v>401</v>
      </c>
      <c r="C273">
        <v>101</v>
      </c>
      <c r="D273" t="str">
        <f t="shared" si="5"/>
        <v>EPS1454BTK_Start_101</v>
      </c>
      <c r="E273">
        <v>52</v>
      </c>
    </row>
    <row r="274" spans="1:5" x14ac:dyDescent="0.2">
      <c r="A274" t="s">
        <v>426</v>
      </c>
      <c r="B274" t="s">
        <v>401</v>
      </c>
      <c r="C274">
        <v>101</v>
      </c>
      <c r="D274" t="str">
        <f t="shared" si="5"/>
        <v>EPS1454BTK_Start_101</v>
      </c>
      <c r="E274">
        <v>44</v>
      </c>
    </row>
    <row r="275" spans="1:5" x14ac:dyDescent="0.2">
      <c r="A275" t="s">
        <v>426</v>
      </c>
      <c r="B275" t="s">
        <v>401</v>
      </c>
      <c r="C275">
        <v>101</v>
      </c>
      <c r="D275" t="str">
        <f t="shared" si="5"/>
        <v>EPS1454BTK_Start_101</v>
      </c>
      <c r="E275">
        <v>36</v>
      </c>
    </row>
    <row r="276" spans="1:5" x14ac:dyDescent="0.2">
      <c r="A276" t="s">
        <v>426</v>
      </c>
      <c r="B276" t="s">
        <v>401</v>
      </c>
      <c r="C276">
        <v>101</v>
      </c>
      <c r="D276" t="str">
        <f t="shared" si="5"/>
        <v>EPS1454BTK_Start_101</v>
      </c>
      <c r="E276">
        <v>41</v>
      </c>
    </row>
    <row r="277" spans="1:5" x14ac:dyDescent="0.2">
      <c r="A277" t="s">
        <v>426</v>
      </c>
      <c r="B277" t="s">
        <v>401</v>
      </c>
      <c r="C277">
        <v>101</v>
      </c>
      <c r="D277" t="str">
        <f t="shared" si="5"/>
        <v>EPS1454BTK_Start_101</v>
      </c>
      <c r="E277">
        <v>45</v>
      </c>
    </row>
    <row r="278" spans="1:5" x14ac:dyDescent="0.2">
      <c r="A278" t="s">
        <v>426</v>
      </c>
      <c r="B278" t="s">
        <v>401</v>
      </c>
      <c r="C278">
        <v>101</v>
      </c>
      <c r="D278" t="str">
        <f t="shared" si="5"/>
        <v>EPS1454BTK_Start_101</v>
      </c>
      <c r="E278">
        <v>36</v>
      </c>
    </row>
    <row r="279" spans="1:5" x14ac:dyDescent="0.2">
      <c r="A279" t="s">
        <v>426</v>
      </c>
      <c r="B279" t="s">
        <v>401</v>
      </c>
      <c r="C279">
        <v>101</v>
      </c>
      <c r="D279" t="str">
        <f t="shared" si="5"/>
        <v>EPS1454BTK_Start_101</v>
      </c>
      <c r="E279">
        <v>45</v>
      </c>
    </row>
    <row r="280" spans="1:5" x14ac:dyDescent="0.2">
      <c r="A280" t="s">
        <v>426</v>
      </c>
      <c r="B280" t="s">
        <v>401</v>
      </c>
      <c r="C280">
        <v>101</v>
      </c>
      <c r="D280" t="str">
        <f t="shared" si="5"/>
        <v>EPS1454BTK_Start_101</v>
      </c>
      <c r="E280">
        <v>42</v>
      </c>
    </row>
    <row r="281" spans="1:5" x14ac:dyDescent="0.2">
      <c r="A281" t="s">
        <v>426</v>
      </c>
      <c r="B281" t="s">
        <v>401</v>
      </c>
      <c r="C281">
        <v>101</v>
      </c>
      <c r="D281" t="str">
        <f t="shared" si="5"/>
        <v>EPS1454BTK_Start_101</v>
      </c>
      <c r="E281">
        <v>45</v>
      </c>
    </row>
    <row r="282" spans="1:5" x14ac:dyDescent="0.2">
      <c r="A282" t="s">
        <v>426</v>
      </c>
      <c r="B282" t="s">
        <v>401</v>
      </c>
      <c r="C282">
        <v>101</v>
      </c>
      <c r="D282" t="str">
        <f t="shared" si="5"/>
        <v>EPS1454BTK_Start_101</v>
      </c>
      <c r="E282">
        <v>50</v>
      </c>
    </row>
    <row r="283" spans="1:5" x14ac:dyDescent="0.2">
      <c r="A283" t="s">
        <v>426</v>
      </c>
      <c r="B283" t="s">
        <v>401</v>
      </c>
      <c r="C283">
        <v>101</v>
      </c>
      <c r="D283" t="str">
        <f t="shared" si="5"/>
        <v>EPS1454BTK_Start_101</v>
      </c>
      <c r="E283">
        <v>46</v>
      </c>
    </row>
    <row r="284" spans="1:5" x14ac:dyDescent="0.2">
      <c r="A284" t="s">
        <v>426</v>
      </c>
      <c r="B284" t="s">
        <v>380</v>
      </c>
      <c r="C284">
        <v>101</v>
      </c>
      <c r="D284" t="str">
        <f t="shared" si="5"/>
        <v>EPS1454BTK_End_101</v>
      </c>
      <c r="E284">
        <v>-41</v>
      </c>
    </row>
    <row r="285" spans="1:5" x14ac:dyDescent="0.2">
      <c r="A285" t="s">
        <v>426</v>
      </c>
      <c r="B285" t="s">
        <v>380</v>
      </c>
      <c r="C285">
        <v>101</v>
      </c>
      <c r="D285" t="str">
        <f t="shared" si="5"/>
        <v>EPS1454BTK_End_101</v>
      </c>
      <c r="E285">
        <v>-41</v>
      </c>
    </row>
    <row r="286" spans="1:5" x14ac:dyDescent="0.2">
      <c r="A286" t="s">
        <v>426</v>
      </c>
      <c r="B286" t="s">
        <v>380</v>
      </c>
      <c r="C286">
        <v>101</v>
      </c>
      <c r="D286" t="str">
        <f t="shared" si="5"/>
        <v>EPS1454BTK_End_101</v>
      </c>
      <c r="E286">
        <v>-43</v>
      </c>
    </row>
    <row r="287" spans="1:5" x14ac:dyDescent="0.2">
      <c r="A287" t="s">
        <v>426</v>
      </c>
      <c r="B287" t="s">
        <v>380</v>
      </c>
      <c r="C287">
        <v>101</v>
      </c>
      <c r="D287" t="str">
        <f t="shared" si="5"/>
        <v>EPS1454BTK_End_101</v>
      </c>
      <c r="E287">
        <v>-45</v>
      </c>
    </row>
    <row r="288" spans="1:5" x14ac:dyDescent="0.2">
      <c r="A288" t="s">
        <v>426</v>
      </c>
      <c r="B288" t="s">
        <v>380</v>
      </c>
      <c r="C288">
        <v>101</v>
      </c>
      <c r="D288" t="str">
        <f t="shared" si="5"/>
        <v>EPS1454BTK_End_101</v>
      </c>
      <c r="E288">
        <v>-43</v>
      </c>
    </row>
    <row r="289" spans="1:5" x14ac:dyDescent="0.2">
      <c r="A289" t="s">
        <v>426</v>
      </c>
      <c r="B289" t="s">
        <v>380</v>
      </c>
      <c r="C289">
        <v>101</v>
      </c>
      <c r="D289" t="str">
        <f t="shared" si="5"/>
        <v>EPS1454BTK_End_101</v>
      </c>
      <c r="E289">
        <v>-45</v>
      </c>
    </row>
    <row r="290" spans="1:5" x14ac:dyDescent="0.2">
      <c r="A290" t="s">
        <v>426</v>
      </c>
      <c r="B290" t="s">
        <v>380</v>
      </c>
      <c r="C290">
        <v>101</v>
      </c>
      <c r="D290" t="str">
        <f t="shared" si="5"/>
        <v>EPS1454BTK_End_101</v>
      </c>
      <c r="E290">
        <v>-44</v>
      </c>
    </row>
    <row r="291" spans="1:5" x14ac:dyDescent="0.2">
      <c r="A291" t="s">
        <v>426</v>
      </c>
      <c r="B291" t="s">
        <v>380</v>
      </c>
      <c r="C291">
        <v>101</v>
      </c>
      <c r="D291" t="str">
        <f t="shared" si="5"/>
        <v>EPS1454BTK_End_101</v>
      </c>
      <c r="E291">
        <v>-44</v>
      </c>
    </row>
    <row r="292" spans="1:5" x14ac:dyDescent="0.2">
      <c r="A292" t="s">
        <v>426</v>
      </c>
      <c r="B292" t="s">
        <v>380</v>
      </c>
      <c r="C292">
        <v>101</v>
      </c>
      <c r="D292" t="str">
        <f t="shared" si="5"/>
        <v>EPS1454BTK_End_101</v>
      </c>
      <c r="E292">
        <v>-45</v>
      </c>
    </row>
    <row r="293" spans="1:5" x14ac:dyDescent="0.2">
      <c r="A293" t="s">
        <v>426</v>
      </c>
      <c r="B293" t="s">
        <v>380</v>
      </c>
      <c r="C293">
        <v>101</v>
      </c>
      <c r="D293" t="str">
        <f t="shared" si="5"/>
        <v>EPS1454BTK_End_101</v>
      </c>
      <c r="E293">
        <v>-43</v>
      </c>
    </row>
    <row r="294" spans="1:5" x14ac:dyDescent="0.2">
      <c r="A294" t="s">
        <v>426</v>
      </c>
      <c r="B294" t="s">
        <v>380</v>
      </c>
      <c r="C294">
        <v>101</v>
      </c>
      <c r="D294" t="str">
        <f t="shared" si="5"/>
        <v>EPS1454BTK_End_101</v>
      </c>
      <c r="E294">
        <v>-44</v>
      </c>
    </row>
    <row r="295" spans="1:5" x14ac:dyDescent="0.2">
      <c r="A295" t="s">
        <v>426</v>
      </c>
      <c r="B295" t="s">
        <v>380</v>
      </c>
      <c r="C295">
        <v>101</v>
      </c>
      <c r="D295" t="str">
        <f t="shared" si="5"/>
        <v>EPS1454BTK_End_101</v>
      </c>
      <c r="E295">
        <v>-43</v>
      </c>
    </row>
    <row r="296" spans="1:5" x14ac:dyDescent="0.2">
      <c r="A296" t="s">
        <v>426</v>
      </c>
      <c r="B296" t="s">
        <v>380</v>
      </c>
      <c r="C296">
        <v>101</v>
      </c>
      <c r="D296" t="str">
        <f t="shared" si="5"/>
        <v>EPS1454BTK_End_101</v>
      </c>
      <c r="E296">
        <v>-43</v>
      </c>
    </row>
    <row r="297" spans="1:5" x14ac:dyDescent="0.2">
      <c r="A297" t="s">
        <v>426</v>
      </c>
      <c r="B297" t="s">
        <v>380</v>
      </c>
      <c r="C297">
        <v>101</v>
      </c>
      <c r="D297" t="str">
        <f t="shared" si="5"/>
        <v>EPS1454BTK_End_101</v>
      </c>
      <c r="E297">
        <v>-43</v>
      </c>
    </row>
    <row r="298" spans="1:5" x14ac:dyDescent="0.2">
      <c r="A298" t="s">
        <v>426</v>
      </c>
      <c r="B298" t="s">
        <v>380</v>
      </c>
      <c r="C298">
        <v>101</v>
      </c>
      <c r="D298" t="str">
        <f t="shared" si="5"/>
        <v>EPS1454BTK_End_101</v>
      </c>
      <c r="E298">
        <v>-44</v>
      </c>
    </row>
    <row r="299" spans="1:5" x14ac:dyDescent="0.2">
      <c r="A299" t="s">
        <v>426</v>
      </c>
      <c r="B299" t="s">
        <v>380</v>
      </c>
      <c r="C299">
        <v>101</v>
      </c>
      <c r="D299" t="str">
        <f t="shared" si="5"/>
        <v>EPS1454BTK_End_101</v>
      </c>
      <c r="E299">
        <v>-41</v>
      </c>
    </row>
    <row r="300" spans="1:5" x14ac:dyDescent="0.2">
      <c r="A300" t="s">
        <v>426</v>
      </c>
      <c r="B300" t="s">
        <v>380</v>
      </c>
      <c r="C300">
        <v>101</v>
      </c>
      <c r="D300" t="str">
        <f t="shared" si="5"/>
        <v>EPS1454BTK_End_101</v>
      </c>
      <c r="E300">
        <v>-43</v>
      </c>
    </row>
    <row r="301" spans="1:5" x14ac:dyDescent="0.2">
      <c r="A301" t="s">
        <v>426</v>
      </c>
      <c r="B301" t="s">
        <v>380</v>
      </c>
      <c r="C301">
        <v>101</v>
      </c>
      <c r="D301" t="str">
        <f t="shared" si="5"/>
        <v>EPS1454BTK_End_101</v>
      </c>
      <c r="E301">
        <v>-38</v>
      </c>
    </row>
    <row r="302" spans="1:5" x14ac:dyDescent="0.2">
      <c r="A302" t="s">
        <v>426</v>
      </c>
      <c r="B302" t="s">
        <v>380</v>
      </c>
      <c r="C302">
        <v>101</v>
      </c>
      <c r="D302" t="str">
        <f t="shared" si="5"/>
        <v>EPS1454BTK_End_101</v>
      </c>
      <c r="E302">
        <v>-43</v>
      </c>
    </row>
    <row r="303" spans="1:5" x14ac:dyDescent="0.2">
      <c r="A303" t="s">
        <v>426</v>
      </c>
      <c r="B303" t="s">
        <v>380</v>
      </c>
      <c r="C303">
        <v>101</v>
      </c>
      <c r="D303" t="str">
        <f t="shared" si="5"/>
        <v>EPS1454BTK_End_101</v>
      </c>
      <c r="E303">
        <v>-42</v>
      </c>
    </row>
    <row r="304" spans="1:5" x14ac:dyDescent="0.2">
      <c r="A304" t="s">
        <v>426</v>
      </c>
      <c r="B304" t="s">
        <v>380</v>
      </c>
      <c r="C304">
        <v>101</v>
      </c>
      <c r="D304" t="str">
        <f t="shared" si="5"/>
        <v>EPS1454BTK_End_101</v>
      </c>
      <c r="E304">
        <v>-43</v>
      </c>
    </row>
    <row r="305" spans="1:5" x14ac:dyDescent="0.2">
      <c r="A305" t="s">
        <v>426</v>
      </c>
      <c r="B305" t="s">
        <v>380</v>
      </c>
      <c r="C305">
        <v>101</v>
      </c>
      <c r="D305" t="str">
        <f t="shared" si="5"/>
        <v>EPS1454BTK_End_101</v>
      </c>
      <c r="E305">
        <v>-42</v>
      </c>
    </row>
    <row r="306" spans="1:5" x14ac:dyDescent="0.2">
      <c r="A306" t="s">
        <v>426</v>
      </c>
      <c r="B306" t="s">
        <v>380</v>
      </c>
      <c r="C306">
        <v>101</v>
      </c>
      <c r="D306" t="str">
        <f t="shared" si="5"/>
        <v>EPS1454BTK_End_101</v>
      </c>
      <c r="E306">
        <v>-39</v>
      </c>
    </row>
    <row r="307" spans="1:5" x14ac:dyDescent="0.2">
      <c r="A307" t="s">
        <v>426</v>
      </c>
      <c r="B307" t="s">
        <v>380</v>
      </c>
      <c r="C307">
        <v>101</v>
      </c>
      <c r="D307" t="str">
        <f t="shared" si="5"/>
        <v>EPS1454BTK_End_101</v>
      </c>
      <c r="E307">
        <v>-40</v>
      </c>
    </row>
    <row r="308" spans="1:5" x14ac:dyDescent="0.2">
      <c r="A308" t="s">
        <v>426</v>
      </c>
      <c r="B308" t="s">
        <v>380</v>
      </c>
      <c r="C308">
        <v>101</v>
      </c>
      <c r="D308" t="str">
        <f t="shared" si="5"/>
        <v>EPS1454BTK_End_101</v>
      </c>
      <c r="E308">
        <v>-45</v>
      </c>
    </row>
    <row r="309" spans="1:5" x14ac:dyDescent="0.2">
      <c r="A309" t="s">
        <v>426</v>
      </c>
      <c r="B309" t="s">
        <v>380</v>
      </c>
      <c r="C309">
        <v>101</v>
      </c>
      <c r="D309" t="str">
        <f t="shared" si="5"/>
        <v>EPS1454BTK_End_101</v>
      </c>
      <c r="E309">
        <v>-44</v>
      </c>
    </row>
    <row r="310" spans="1:5" x14ac:dyDescent="0.2">
      <c r="A310" t="s">
        <v>426</v>
      </c>
      <c r="B310" t="s">
        <v>380</v>
      </c>
      <c r="C310">
        <v>101</v>
      </c>
      <c r="D310" t="str">
        <f t="shared" si="5"/>
        <v>EPS1454BTK_End_101</v>
      </c>
      <c r="E310">
        <v>-43</v>
      </c>
    </row>
    <row r="311" spans="1:5" x14ac:dyDescent="0.2">
      <c r="A311" t="s">
        <v>426</v>
      </c>
      <c r="B311" t="s">
        <v>380</v>
      </c>
      <c r="C311">
        <v>101</v>
      </c>
      <c r="D311" t="str">
        <f t="shared" si="5"/>
        <v>EPS1454BTK_End_101</v>
      </c>
      <c r="E311">
        <v>-44</v>
      </c>
    </row>
    <row r="312" spans="1:5" x14ac:dyDescent="0.2">
      <c r="A312" t="s">
        <v>426</v>
      </c>
      <c r="B312" t="s">
        <v>380</v>
      </c>
      <c r="C312">
        <v>101</v>
      </c>
      <c r="D312" t="str">
        <f t="shared" si="5"/>
        <v>EPS1454BTK_End_101</v>
      </c>
      <c r="E312">
        <v>-42</v>
      </c>
    </row>
    <row r="313" spans="1:5" x14ac:dyDescent="0.2">
      <c r="A313" t="s">
        <v>426</v>
      </c>
      <c r="B313" t="s">
        <v>380</v>
      </c>
      <c r="C313">
        <v>101</v>
      </c>
      <c r="D313" t="str">
        <f t="shared" si="5"/>
        <v>EPS1454BTK_End_101</v>
      </c>
      <c r="E313">
        <v>-44</v>
      </c>
    </row>
    <row r="314" spans="1:5" x14ac:dyDescent="0.2">
      <c r="A314" t="s">
        <v>426</v>
      </c>
      <c r="B314" t="s">
        <v>401</v>
      </c>
      <c r="C314">
        <v>41</v>
      </c>
      <c r="D314" t="str">
        <f t="shared" si="5"/>
        <v>EPS1454BTK_Start_41</v>
      </c>
      <c r="E314">
        <v>20</v>
      </c>
    </row>
    <row r="315" spans="1:5" x14ac:dyDescent="0.2">
      <c r="A315" t="s">
        <v>426</v>
      </c>
      <c r="B315" t="s">
        <v>401</v>
      </c>
      <c r="C315">
        <v>41</v>
      </c>
      <c r="D315" t="str">
        <f t="shared" si="5"/>
        <v>EPS1454BTK_Start_41</v>
      </c>
      <c r="E315">
        <v>13</v>
      </c>
    </row>
    <row r="316" spans="1:5" x14ac:dyDescent="0.2">
      <c r="A316" t="s">
        <v>426</v>
      </c>
      <c r="B316" t="s">
        <v>401</v>
      </c>
      <c r="C316">
        <v>41</v>
      </c>
      <c r="D316" t="str">
        <f t="shared" si="5"/>
        <v>EPS1454BTK_Start_41</v>
      </c>
      <c r="E316">
        <v>11</v>
      </c>
    </row>
    <row r="317" spans="1:5" x14ac:dyDescent="0.2">
      <c r="A317" t="s">
        <v>426</v>
      </c>
      <c r="B317" t="s">
        <v>401</v>
      </c>
      <c r="C317">
        <v>41</v>
      </c>
      <c r="D317" t="str">
        <f t="shared" si="5"/>
        <v>EPS1454BTK_Start_41</v>
      </c>
      <c r="E317">
        <v>14</v>
      </c>
    </row>
    <row r="318" spans="1:5" x14ac:dyDescent="0.2">
      <c r="A318" t="s">
        <v>426</v>
      </c>
      <c r="B318" t="s">
        <v>401</v>
      </c>
      <c r="C318">
        <v>41</v>
      </c>
      <c r="D318" t="str">
        <f t="shared" si="5"/>
        <v>EPS1454BTK_Start_41</v>
      </c>
      <c r="E318">
        <v>15</v>
      </c>
    </row>
    <row r="319" spans="1:5" x14ac:dyDescent="0.2">
      <c r="A319" t="s">
        <v>426</v>
      </c>
      <c r="B319" t="s">
        <v>401</v>
      </c>
      <c r="C319">
        <v>41</v>
      </c>
      <c r="D319" t="str">
        <f t="shared" si="5"/>
        <v>EPS1454BTK_Start_41</v>
      </c>
      <c r="E319">
        <v>15</v>
      </c>
    </row>
    <row r="320" spans="1:5" x14ac:dyDescent="0.2">
      <c r="A320" t="s">
        <v>426</v>
      </c>
      <c r="B320" t="s">
        <v>401</v>
      </c>
      <c r="C320">
        <v>41</v>
      </c>
      <c r="D320" t="str">
        <f t="shared" si="5"/>
        <v>EPS1454BTK_Start_41</v>
      </c>
      <c r="E320">
        <v>16</v>
      </c>
    </row>
    <row r="321" spans="1:5" x14ac:dyDescent="0.2">
      <c r="A321" t="s">
        <v>426</v>
      </c>
      <c r="B321" t="s">
        <v>401</v>
      </c>
      <c r="C321">
        <v>41</v>
      </c>
      <c r="D321" t="str">
        <f t="shared" si="5"/>
        <v>EPS1454BTK_Start_41</v>
      </c>
      <c r="E321">
        <v>18</v>
      </c>
    </row>
    <row r="322" spans="1:5" x14ac:dyDescent="0.2">
      <c r="A322" t="s">
        <v>426</v>
      </c>
      <c r="B322" t="s">
        <v>401</v>
      </c>
      <c r="C322">
        <v>41</v>
      </c>
      <c r="D322" t="str">
        <f t="shared" si="5"/>
        <v>EPS1454BTK_Start_41</v>
      </c>
      <c r="E322">
        <v>14</v>
      </c>
    </row>
    <row r="323" spans="1:5" x14ac:dyDescent="0.2">
      <c r="A323" t="s">
        <v>426</v>
      </c>
      <c r="B323" t="s">
        <v>401</v>
      </c>
      <c r="C323">
        <v>41</v>
      </c>
      <c r="D323" t="str">
        <f t="shared" ref="D323:D386" si="6">A323&amp;"_"&amp;B323&amp;"_"&amp;C323</f>
        <v>EPS1454BTK_Start_41</v>
      </c>
      <c r="E323">
        <v>14</v>
      </c>
    </row>
    <row r="324" spans="1:5" x14ac:dyDescent="0.2">
      <c r="A324" t="s">
        <v>426</v>
      </c>
      <c r="B324" t="s">
        <v>401</v>
      </c>
      <c r="C324">
        <v>41</v>
      </c>
      <c r="D324" t="str">
        <f t="shared" si="6"/>
        <v>EPS1454BTK_Start_41</v>
      </c>
      <c r="E324">
        <v>16</v>
      </c>
    </row>
    <row r="325" spans="1:5" x14ac:dyDescent="0.2">
      <c r="A325" t="s">
        <v>426</v>
      </c>
      <c r="B325" t="s">
        <v>401</v>
      </c>
      <c r="C325">
        <v>41</v>
      </c>
      <c r="D325" t="str">
        <f t="shared" si="6"/>
        <v>EPS1454BTK_Start_41</v>
      </c>
      <c r="E325">
        <v>14</v>
      </c>
    </row>
    <row r="326" spans="1:5" x14ac:dyDescent="0.2">
      <c r="A326" t="s">
        <v>426</v>
      </c>
      <c r="B326" t="s">
        <v>401</v>
      </c>
      <c r="C326">
        <v>41</v>
      </c>
      <c r="D326" t="str">
        <f t="shared" si="6"/>
        <v>EPS1454BTK_Start_41</v>
      </c>
      <c r="E326">
        <v>18</v>
      </c>
    </row>
    <row r="327" spans="1:5" x14ac:dyDescent="0.2">
      <c r="A327" t="s">
        <v>426</v>
      </c>
      <c r="B327" t="s">
        <v>401</v>
      </c>
      <c r="C327">
        <v>41</v>
      </c>
      <c r="D327" t="str">
        <f t="shared" si="6"/>
        <v>EPS1454BTK_Start_41</v>
      </c>
      <c r="E327">
        <v>15</v>
      </c>
    </row>
    <row r="328" spans="1:5" x14ac:dyDescent="0.2">
      <c r="A328" t="s">
        <v>426</v>
      </c>
      <c r="B328" t="s">
        <v>401</v>
      </c>
      <c r="C328">
        <v>41</v>
      </c>
      <c r="D328" t="str">
        <f t="shared" si="6"/>
        <v>EPS1454BTK_Start_41</v>
      </c>
      <c r="E328">
        <v>16</v>
      </c>
    </row>
    <row r="329" spans="1:5" x14ac:dyDescent="0.2">
      <c r="A329" t="s">
        <v>426</v>
      </c>
      <c r="B329" t="s">
        <v>401</v>
      </c>
      <c r="C329">
        <v>41</v>
      </c>
      <c r="D329" t="str">
        <f t="shared" si="6"/>
        <v>EPS1454BTK_Start_41</v>
      </c>
      <c r="E329">
        <v>18</v>
      </c>
    </row>
    <row r="330" spans="1:5" x14ac:dyDescent="0.2">
      <c r="A330" t="s">
        <v>426</v>
      </c>
      <c r="B330" t="s">
        <v>401</v>
      </c>
      <c r="C330">
        <v>41</v>
      </c>
      <c r="D330" t="str">
        <f t="shared" si="6"/>
        <v>EPS1454BTK_Start_41</v>
      </c>
      <c r="E330">
        <v>13</v>
      </c>
    </row>
    <row r="331" spans="1:5" x14ac:dyDescent="0.2">
      <c r="A331" t="s">
        <v>426</v>
      </c>
      <c r="B331" t="s">
        <v>401</v>
      </c>
      <c r="C331">
        <v>41</v>
      </c>
      <c r="D331" t="str">
        <f t="shared" si="6"/>
        <v>EPS1454BTK_Start_41</v>
      </c>
      <c r="E331">
        <v>17</v>
      </c>
    </row>
    <row r="332" spans="1:5" x14ac:dyDescent="0.2">
      <c r="A332" t="s">
        <v>426</v>
      </c>
      <c r="B332" t="s">
        <v>401</v>
      </c>
      <c r="C332">
        <v>41</v>
      </c>
      <c r="D332" t="str">
        <f t="shared" si="6"/>
        <v>EPS1454BTK_Start_41</v>
      </c>
      <c r="E332">
        <v>13</v>
      </c>
    </row>
    <row r="333" spans="1:5" x14ac:dyDescent="0.2">
      <c r="A333" t="s">
        <v>426</v>
      </c>
      <c r="B333" t="s">
        <v>401</v>
      </c>
      <c r="C333">
        <v>41</v>
      </c>
      <c r="D333" t="str">
        <f t="shared" si="6"/>
        <v>EPS1454BTK_Start_41</v>
      </c>
      <c r="E333">
        <v>19</v>
      </c>
    </row>
    <row r="334" spans="1:5" x14ac:dyDescent="0.2">
      <c r="A334" t="s">
        <v>426</v>
      </c>
      <c r="B334" t="s">
        <v>401</v>
      </c>
      <c r="C334">
        <v>41</v>
      </c>
      <c r="D334" t="str">
        <f t="shared" si="6"/>
        <v>EPS1454BTK_Start_41</v>
      </c>
      <c r="E334">
        <v>18</v>
      </c>
    </row>
    <row r="335" spans="1:5" x14ac:dyDescent="0.2">
      <c r="A335" t="s">
        <v>426</v>
      </c>
      <c r="B335" t="s">
        <v>401</v>
      </c>
      <c r="C335">
        <v>41</v>
      </c>
      <c r="D335" t="str">
        <f t="shared" si="6"/>
        <v>EPS1454BTK_Start_41</v>
      </c>
      <c r="E335">
        <v>13</v>
      </c>
    </row>
    <row r="336" spans="1:5" x14ac:dyDescent="0.2">
      <c r="A336" t="s">
        <v>426</v>
      </c>
      <c r="B336" t="s">
        <v>401</v>
      </c>
      <c r="C336">
        <v>41</v>
      </c>
      <c r="D336" t="str">
        <f t="shared" si="6"/>
        <v>EPS1454BTK_Start_41</v>
      </c>
      <c r="E336">
        <v>16</v>
      </c>
    </row>
    <row r="337" spans="1:5" x14ac:dyDescent="0.2">
      <c r="A337" t="s">
        <v>426</v>
      </c>
      <c r="B337" t="s">
        <v>401</v>
      </c>
      <c r="C337">
        <v>41</v>
      </c>
      <c r="D337" t="str">
        <f t="shared" si="6"/>
        <v>EPS1454BTK_Start_41</v>
      </c>
      <c r="E337">
        <v>15</v>
      </c>
    </row>
    <row r="338" spans="1:5" x14ac:dyDescent="0.2">
      <c r="A338" t="s">
        <v>426</v>
      </c>
      <c r="B338" t="s">
        <v>401</v>
      </c>
      <c r="C338">
        <v>41</v>
      </c>
      <c r="D338" t="str">
        <f t="shared" si="6"/>
        <v>EPS1454BTK_Start_41</v>
      </c>
      <c r="E338">
        <v>13</v>
      </c>
    </row>
    <row r="339" spans="1:5" x14ac:dyDescent="0.2">
      <c r="A339" t="s">
        <v>426</v>
      </c>
      <c r="B339" t="s">
        <v>401</v>
      </c>
      <c r="C339">
        <v>41</v>
      </c>
      <c r="D339" t="str">
        <f t="shared" si="6"/>
        <v>EPS1454BTK_Start_41</v>
      </c>
      <c r="E339">
        <v>19</v>
      </c>
    </row>
    <row r="340" spans="1:5" x14ac:dyDescent="0.2">
      <c r="A340" t="s">
        <v>426</v>
      </c>
      <c r="B340" t="s">
        <v>401</v>
      </c>
      <c r="C340">
        <v>41</v>
      </c>
      <c r="D340" t="str">
        <f t="shared" si="6"/>
        <v>EPS1454BTK_Start_41</v>
      </c>
      <c r="E340">
        <v>16</v>
      </c>
    </row>
    <row r="341" spans="1:5" x14ac:dyDescent="0.2">
      <c r="A341" t="s">
        <v>426</v>
      </c>
      <c r="B341" t="s">
        <v>401</v>
      </c>
      <c r="C341">
        <v>41</v>
      </c>
      <c r="D341" t="str">
        <f t="shared" si="6"/>
        <v>EPS1454BTK_Start_41</v>
      </c>
      <c r="E341">
        <v>15</v>
      </c>
    </row>
    <row r="342" spans="1:5" x14ac:dyDescent="0.2">
      <c r="A342" t="s">
        <v>426</v>
      </c>
      <c r="B342" t="s">
        <v>401</v>
      </c>
      <c r="C342">
        <v>41</v>
      </c>
      <c r="D342" t="str">
        <f t="shared" si="6"/>
        <v>EPS1454BTK_Start_41</v>
      </c>
      <c r="E342">
        <v>13</v>
      </c>
    </row>
    <row r="343" spans="1:5" x14ac:dyDescent="0.2">
      <c r="A343" t="s">
        <v>426</v>
      </c>
      <c r="B343" t="s">
        <v>401</v>
      </c>
      <c r="C343">
        <v>41</v>
      </c>
      <c r="D343" t="str">
        <f t="shared" si="6"/>
        <v>EPS1454BTK_Start_41</v>
      </c>
      <c r="E343">
        <v>18</v>
      </c>
    </row>
    <row r="344" spans="1:5" x14ac:dyDescent="0.2">
      <c r="A344" t="s">
        <v>426</v>
      </c>
      <c r="B344" t="s">
        <v>380</v>
      </c>
      <c r="C344">
        <v>41</v>
      </c>
      <c r="D344" t="str">
        <f t="shared" si="6"/>
        <v>EPS1454BTK_End_41</v>
      </c>
      <c r="E344">
        <v>-11</v>
      </c>
    </row>
    <row r="345" spans="1:5" x14ac:dyDescent="0.2">
      <c r="A345" t="s">
        <v>426</v>
      </c>
      <c r="B345" t="s">
        <v>380</v>
      </c>
      <c r="C345">
        <v>41</v>
      </c>
      <c r="D345" t="str">
        <f t="shared" si="6"/>
        <v>EPS1454BTK_End_41</v>
      </c>
      <c r="E345">
        <v>-12</v>
      </c>
    </row>
    <row r="346" spans="1:5" x14ac:dyDescent="0.2">
      <c r="A346" t="s">
        <v>426</v>
      </c>
      <c r="B346" t="s">
        <v>380</v>
      </c>
      <c r="C346">
        <v>41</v>
      </c>
      <c r="D346" t="str">
        <f t="shared" si="6"/>
        <v>EPS1454BTK_End_41</v>
      </c>
      <c r="E346">
        <v>-13</v>
      </c>
    </row>
    <row r="347" spans="1:5" x14ac:dyDescent="0.2">
      <c r="A347" t="s">
        <v>426</v>
      </c>
      <c r="B347" t="s">
        <v>380</v>
      </c>
      <c r="C347">
        <v>41</v>
      </c>
      <c r="D347" t="str">
        <f t="shared" si="6"/>
        <v>EPS1454BTK_End_41</v>
      </c>
      <c r="E347">
        <v>-15</v>
      </c>
    </row>
    <row r="348" spans="1:5" x14ac:dyDescent="0.2">
      <c r="A348" t="s">
        <v>426</v>
      </c>
      <c r="B348" t="s">
        <v>380</v>
      </c>
      <c r="C348">
        <v>41</v>
      </c>
      <c r="D348" t="str">
        <f t="shared" si="6"/>
        <v>EPS1454BTK_End_41</v>
      </c>
      <c r="E348">
        <v>-13</v>
      </c>
    </row>
    <row r="349" spans="1:5" x14ac:dyDescent="0.2">
      <c r="A349" t="s">
        <v>426</v>
      </c>
      <c r="B349" t="s">
        <v>380</v>
      </c>
      <c r="C349">
        <v>41</v>
      </c>
      <c r="D349" t="str">
        <f t="shared" si="6"/>
        <v>EPS1454BTK_End_41</v>
      </c>
      <c r="E349">
        <v>-15</v>
      </c>
    </row>
    <row r="350" spans="1:5" x14ac:dyDescent="0.2">
      <c r="A350" t="s">
        <v>426</v>
      </c>
      <c r="B350" t="s">
        <v>380</v>
      </c>
      <c r="C350">
        <v>41</v>
      </c>
      <c r="D350" t="str">
        <f t="shared" si="6"/>
        <v>EPS1454BTK_End_41</v>
      </c>
      <c r="E350">
        <v>-14</v>
      </c>
    </row>
    <row r="351" spans="1:5" x14ac:dyDescent="0.2">
      <c r="A351" t="s">
        <v>426</v>
      </c>
      <c r="B351" t="s">
        <v>380</v>
      </c>
      <c r="C351">
        <v>41</v>
      </c>
      <c r="D351" t="str">
        <f t="shared" si="6"/>
        <v>EPS1454BTK_End_41</v>
      </c>
      <c r="E351">
        <v>-15</v>
      </c>
    </row>
    <row r="352" spans="1:5" x14ac:dyDescent="0.2">
      <c r="A352" t="s">
        <v>426</v>
      </c>
      <c r="B352" t="s">
        <v>380</v>
      </c>
      <c r="C352">
        <v>41</v>
      </c>
      <c r="D352" t="str">
        <f t="shared" si="6"/>
        <v>EPS1454BTK_End_41</v>
      </c>
      <c r="E352">
        <v>-15</v>
      </c>
    </row>
    <row r="353" spans="1:5" x14ac:dyDescent="0.2">
      <c r="A353" t="s">
        <v>426</v>
      </c>
      <c r="B353" t="s">
        <v>380</v>
      </c>
      <c r="C353">
        <v>41</v>
      </c>
      <c r="D353" t="str">
        <f t="shared" si="6"/>
        <v>EPS1454BTK_End_41</v>
      </c>
      <c r="E353">
        <v>-14</v>
      </c>
    </row>
    <row r="354" spans="1:5" x14ac:dyDescent="0.2">
      <c r="A354" t="s">
        <v>426</v>
      </c>
      <c r="B354" t="s">
        <v>380</v>
      </c>
      <c r="C354">
        <v>41</v>
      </c>
      <c r="D354" t="str">
        <f t="shared" si="6"/>
        <v>EPS1454BTK_End_41</v>
      </c>
      <c r="E354">
        <v>-14</v>
      </c>
    </row>
    <row r="355" spans="1:5" x14ac:dyDescent="0.2">
      <c r="A355" t="s">
        <v>426</v>
      </c>
      <c r="B355" t="s">
        <v>380</v>
      </c>
      <c r="C355">
        <v>41</v>
      </c>
      <c r="D355" t="str">
        <f t="shared" si="6"/>
        <v>EPS1454BTK_End_41</v>
      </c>
      <c r="E355">
        <v>-13</v>
      </c>
    </row>
    <row r="356" spans="1:5" x14ac:dyDescent="0.2">
      <c r="A356" t="s">
        <v>426</v>
      </c>
      <c r="B356" t="s">
        <v>380</v>
      </c>
      <c r="C356">
        <v>41</v>
      </c>
      <c r="D356" t="str">
        <f t="shared" si="6"/>
        <v>EPS1454BTK_End_41</v>
      </c>
      <c r="E356">
        <v>-15</v>
      </c>
    </row>
    <row r="357" spans="1:5" x14ac:dyDescent="0.2">
      <c r="A357" t="s">
        <v>426</v>
      </c>
      <c r="B357" t="s">
        <v>380</v>
      </c>
      <c r="C357">
        <v>41</v>
      </c>
      <c r="D357" t="str">
        <f t="shared" si="6"/>
        <v>EPS1454BTK_End_41</v>
      </c>
      <c r="E357">
        <v>-14</v>
      </c>
    </row>
    <row r="358" spans="1:5" x14ac:dyDescent="0.2">
      <c r="A358" t="s">
        <v>426</v>
      </c>
      <c r="B358" t="s">
        <v>380</v>
      </c>
      <c r="C358">
        <v>41</v>
      </c>
      <c r="D358" t="str">
        <f t="shared" si="6"/>
        <v>EPS1454BTK_End_41</v>
      </c>
      <c r="E358">
        <v>-14</v>
      </c>
    </row>
    <row r="359" spans="1:5" x14ac:dyDescent="0.2">
      <c r="A359" t="s">
        <v>426</v>
      </c>
      <c r="B359" t="s">
        <v>380</v>
      </c>
      <c r="C359">
        <v>41</v>
      </c>
      <c r="D359" t="str">
        <f t="shared" si="6"/>
        <v>EPS1454BTK_End_41</v>
      </c>
      <c r="E359">
        <v>-14</v>
      </c>
    </row>
    <row r="360" spans="1:5" x14ac:dyDescent="0.2">
      <c r="A360" t="s">
        <v>426</v>
      </c>
      <c r="B360" t="s">
        <v>380</v>
      </c>
      <c r="C360">
        <v>41</v>
      </c>
      <c r="D360" t="str">
        <f t="shared" si="6"/>
        <v>EPS1454BTK_End_41</v>
      </c>
      <c r="E360">
        <v>-15</v>
      </c>
    </row>
    <row r="361" spans="1:5" x14ac:dyDescent="0.2">
      <c r="A361" t="s">
        <v>426</v>
      </c>
      <c r="B361" t="s">
        <v>380</v>
      </c>
      <c r="C361">
        <v>41</v>
      </c>
      <c r="D361" t="str">
        <f t="shared" si="6"/>
        <v>EPS1454BTK_End_41</v>
      </c>
      <c r="E361">
        <v>-9</v>
      </c>
    </row>
    <row r="362" spans="1:5" x14ac:dyDescent="0.2">
      <c r="A362" t="s">
        <v>426</v>
      </c>
      <c r="B362" t="s">
        <v>380</v>
      </c>
      <c r="C362">
        <v>41</v>
      </c>
      <c r="D362" t="str">
        <f t="shared" si="6"/>
        <v>EPS1454BTK_End_41</v>
      </c>
      <c r="E362">
        <v>-14</v>
      </c>
    </row>
    <row r="363" spans="1:5" x14ac:dyDescent="0.2">
      <c r="A363" t="s">
        <v>426</v>
      </c>
      <c r="B363" t="s">
        <v>380</v>
      </c>
      <c r="C363">
        <v>41</v>
      </c>
      <c r="D363" t="str">
        <f t="shared" si="6"/>
        <v>EPS1454BTK_End_41</v>
      </c>
      <c r="E363">
        <v>-13</v>
      </c>
    </row>
    <row r="364" spans="1:5" x14ac:dyDescent="0.2">
      <c r="A364" t="s">
        <v>426</v>
      </c>
      <c r="B364" t="s">
        <v>380</v>
      </c>
      <c r="C364">
        <v>41</v>
      </c>
      <c r="D364" t="str">
        <f t="shared" si="6"/>
        <v>EPS1454BTK_End_41</v>
      </c>
      <c r="E364">
        <v>-11</v>
      </c>
    </row>
    <row r="365" spans="1:5" x14ac:dyDescent="0.2">
      <c r="A365" t="s">
        <v>426</v>
      </c>
      <c r="B365" t="s">
        <v>380</v>
      </c>
      <c r="C365">
        <v>41</v>
      </c>
      <c r="D365" t="str">
        <f t="shared" si="6"/>
        <v>EPS1454BTK_End_41</v>
      </c>
      <c r="E365">
        <v>-12</v>
      </c>
    </row>
    <row r="366" spans="1:5" x14ac:dyDescent="0.2">
      <c r="A366" t="s">
        <v>426</v>
      </c>
      <c r="B366" t="s">
        <v>380</v>
      </c>
      <c r="C366">
        <v>41</v>
      </c>
      <c r="D366" t="str">
        <f t="shared" si="6"/>
        <v>EPS1454BTK_End_41</v>
      </c>
      <c r="E366">
        <v>-9</v>
      </c>
    </row>
    <row r="367" spans="1:5" x14ac:dyDescent="0.2">
      <c r="A367" t="s">
        <v>426</v>
      </c>
      <c r="B367" t="s">
        <v>380</v>
      </c>
      <c r="C367">
        <v>41</v>
      </c>
      <c r="D367" t="str">
        <f t="shared" si="6"/>
        <v>EPS1454BTK_End_41</v>
      </c>
      <c r="E367">
        <v>-12</v>
      </c>
    </row>
    <row r="368" spans="1:5" x14ac:dyDescent="0.2">
      <c r="A368" t="s">
        <v>426</v>
      </c>
      <c r="B368" t="s">
        <v>380</v>
      </c>
      <c r="C368">
        <v>41</v>
      </c>
      <c r="D368" t="str">
        <f t="shared" si="6"/>
        <v>EPS1454BTK_End_41</v>
      </c>
      <c r="E368">
        <v>-17</v>
      </c>
    </row>
    <row r="369" spans="1:5" x14ac:dyDescent="0.2">
      <c r="A369" t="s">
        <v>426</v>
      </c>
      <c r="B369" t="s">
        <v>380</v>
      </c>
      <c r="C369">
        <v>41</v>
      </c>
      <c r="D369" t="str">
        <f t="shared" si="6"/>
        <v>EPS1454BTK_End_41</v>
      </c>
      <c r="E369">
        <v>-14</v>
      </c>
    </row>
    <row r="370" spans="1:5" x14ac:dyDescent="0.2">
      <c r="A370" t="s">
        <v>426</v>
      </c>
      <c r="B370" t="s">
        <v>380</v>
      </c>
      <c r="C370">
        <v>41</v>
      </c>
      <c r="D370" t="str">
        <f t="shared" si="6"/>
        <v>EPS1454BTK_End_41</v>
      </c>
      <c r="E370">
        <v>-14</v>
      </c>
    </row>
    <row r="371" spans="1:5" x14ac:dyDescent="0.2">
      <c r="A371" t="s">
        <v>426</v>
      </c>
      <c r="B371" t="s">
        <v>380</v>
      </c>
      <c r="C371">
        <v>41</v>
      </c>
      <c r="D371" t="str">
        <f t="shared" si="6"/>
        <v>EPS1454BTK_End_41</v>
      </c>
      <c r="E371">
        <v>-15</v>
      </c>
    </row>
    <row r="372" spans="1:5" x14ac:dyDescent="0.2">
      <c r="A372" t="s">
        <v>426</v>
      </c>
      <c r="B372" t="s">
        <v>380</v>
      </c>
      <c r="C372">
        <v>41</v>
      </c>
      <c r="D372" t="str">
        <f t="shared" si="6"/>
        <v>EPS1454BTK_End_41</v>
      </c>
      <c r="E372">
        <v>-12</v>
      </c>
    </row>
    <row r="373" spans="1:5" x14ac:dyDescent="0.2">
      <c r="A373" t="s">
        <v>426</v>
      </c>
      <c r="B373" t="s">
        <v>380</v>
      </c>
      <c r="C373">
        <v>41</v>
      </c>
      <c r="D373" t="str">
        <f t="shared" si="6"/>
        <v>EPS1454BTK_End_41</v>
      </c>
      <c r="E373">
        <v>-14</v>
      </c>
    </row>
    <row r="374" spans="1:5" x14ac:dyDescent="0.2">
      <c r="A374" t="s">
        <v>427</v>
      </c>
      <c r="B374" t="s">
        <v>401</v>
      </c>
      <c r="C374">
        <v>101</v>
      </c>
      <c r="D374" t="str">
        <f t="shared" si="6"/>
        <v>RIC0060OTT_Start_101</v>
      </c>
      <c r="E374">
        <v>41</v>
      </c>
    </row>
    <row r="375" spans="1:5" x14ac:dyDescent="0.2">
      <c r="A375" t="s">
        <v>427</v>
      </c>
      <c r="B375" t="s">
        <v>401</v>
      </c>
      <c r="C375">
        <v>101</v>
      </c>
      <c r="D375" t="str">
        <f t="shared" si="6"/>
        <v>RIC0060OTT_Start_101</v>
      </c>
      <c r="E375">
        <v>39</v>
      </c>
    </row>
    <row r="376" spans="1:5" x14ac:dyDescent="0.2">
      <c r="A376" t="s">
        <v>427</v>
      </c>
      <c r="B376" t="s">
        <v>401</v>
      </c>
      <c r="C376">
        <v>101</v>
      </c>
      <c r="D376" t="str">
        <f t="shared" si="6"/>
        <v>RIC0060OTT_Start_101</v>
      </c>
      <c r="E376">
        <v>35</v>
      </c>
    </row>
    <row r="377" spans="1:5" x14ac:dyDescent="0.2">
      <c r="A377" t="s">
        <v>427</v>
      </c>
      <c r="B377" t="s">
        <v>401</v>
      </c>
      <c r="C377">
        <v>101</v>
      </c>
      <c r="D377" t="str">
        <f t="shared" si="6"/>
        <v>RIC0060OTT_Start_101</v>
      </c>
      <c r="E377">
        <v>61</v>
      </c>
    </row>
    <row r="378" spans="1:5" x14ac:dyDescent="0.2">
      <c r="A378" t="s">
        <v>427</v>
      </c>
      <c r="B378" t="s">
        <v>401</v>
      </c>
      <c r="C378">
        <v>101</v>
      </c>
      <c r="D378" t="str">
        <f t="shared" si="6"/>
        <v>RIC0060OTT_Start_101</v>
      </c>
      <c r="E378">
        <v>43</v>
      </c>
    </row>
    <row r="379" spans="1:5" x14ac:dyDescent="0.2">
      <c r="A379" t="s">
        <v>427</v>
      </c>
      <c r="B379" t="s">
        <v>401</v>
      </c>
      <c r="C379">
        <v>101</v>
      </c>
      <c r="D379" t="str">
        <f t="shared" si="6"/>
        <v>RIC0060OTT_Start_101</v>
      </c>
      <c r="E379">
        <v>66</v>
      </c>
    </row>
    <row r="380" spans="1:5" x14ac:dyDescent="0.2">
      <c r="A380" t="s">
        <v>427</v>
      </c>
      <c r="B380" t="s">
        <v>401</v>
      </c>
      <c r="C380">
        <v>101</v>
      </c>
      <c r="D380" t="str">
        <f t="shared" si="6"/>
        <v>RIC0060OTT_Start_101</v>
      </c>
      <c r="E380">
        <v>62</v>
      </c>
    </row>
    <row r="381" spans="1:5" x14ac:dyDescent="0.2">
      <c r="A381" t="s">
        <v>427</v>
      </c>
      <c r="B381" t="s">
        <v>401</v>
      </c>
      <c r="C381">
        <v>101</v>
      </c>
      <c r="D381" t="str">
        <f t="shared" si="6"/>
        <v>RIC0060OTT_Start_101</v>
      </c>
      <c r="E381">
        <v>38</v>
      </c>
    </row>
    <row r="382" spans="1:5" x14ac:dyDescent="0.2">
      <c r="A382" t="s">
        <v>427</v>
      </c>
      <c r="B382" t="s">
        <v>401</v>
      </c>
      <c r="C382">
        <v>101</v>
      </c>
      <c r="D382" t="str">
        <f t="shared" si="6"/>
        <v>RIC0060OTT_Start_101</v>
      </c>
      <c r="E382">
        <v>63</v>
      </c>
    </row>
    <row r="383" spans="1:5" x14ac:dyDescent="0.2">
      <c r="A383" t="s">
        <v>427</v>
      </c>
      <c r="B383" t="s">
        <v>401</v>
      </c>
      <c r="C383">
        <v>101</v>
      </c>
      <c r="D383" t="str">
        <f t="shared" si="6"/>
        <v>RIC0060OTT_Start_101</v>
      </c>
      <c r="E383">
        <v>61</v>
      </c>
    </row>
    <row r="384" spans="1:5" x14ac:dyDescent="0.2">
      <c r="A384" t="s">
        <v>427</v>
      </c>
      <c r="B384" t="s">
        <v>401</v>
      </c>
      <c r="C384">
        <v>101</v>
      </c>
      <c r="D384" t="str">
        <f t="shared" si="6"/>
        <v>RIC0060OTT_Start_101</v>
      </c>
      <c r="E384">
        <v>40</v>
      </c>
    </row>
    <row r="385" spans="1:5" x14ac:dyDescent="0.2">
      <c r="A385" t="s">
        <v>427</v>
      </c>
      <c r="B385" t="s">
        <v>401</v>
      </c>
      <c r="C385">
        <v>101</v>
      </c>
      <c r="D385" t="str">
        <f t="shared" si="6"/>
        <v>RIC0060OTT_Start_101</v>
      </c>
      <c r="E385">
        <v>39</v>
      </c>
    </row>
    <row r="386" spans="1:5" x14ac:dyDescent="0.2">
      <c r="A386" t="s">
        <v>427</v>
      </c>
      <c r="B386" t="s">
        <v>401</v>
      </c>
      <c r="C386">
        <v>101</v>
      </c>
      <c r="D386" t="str">
        <f t="shared" si="6"/>
        <v>RIC0060OTT_Start_101</v>
      </c>
      <c r="E386">
        <v>57</v>
      </c>
    </row>
    <row r="387" spans="1:5" x14ac:dyDescent="0.2">
      <c r="A387" t="s">
        <v>427</v>
      </c>
      <c r="B387" t="s">
        <v>401</v>
      </c>
      <c r="C387">
        <v>101</v>
      </c>
      <c r="D387" t="str">
        <f t="shared" ref="D387:D445" si="7">A387&amp;"_"&amp;B387&amp;"_"&amp;C387</f>
        <v>RIC0060OTT_Start_101</v>
      </c>
      <c r="E387">
        <v>39</v>
      </c>
    </row>
    <row r="388" spans="1:5" x14ac:dyDescent="0.2">
      <c r="A388" t="s">
        <v>427</v>
      </c>
      <c r="B388" t="s">
        <v>401</v>
      </c>
      <c r="C388">
        <v>101</v>
      </c>
      <c r="D388" t="str">
        <f t="shared" si="7"/>
        <v>RIC0060OTT_Start_101</v>
      </c>
      <c r="E388">
        <v>39</v>
      </c>
    </row>
    <row r="389" spans="1:5" x14ac:dyDescent="0.2">
      <c r="A389" t="s">
        <v>427</v>
      </c>
      <c r="B389" t="s">
        <v>401</v>
      </c>
      <c r="C389">
        <v>101</v>
      </c>
      <c r="D389" t="str">
        <f t="shared" si="7"/>
        <v>RIC0060OTT_Start_101</v>
      </c>
      <c r="E389">
        <v>36</v>
      </c>
    </row>
    <row r="390" spans="1:5" x14ac:dyDescent="0.2">
      <c r="A390" t="s">
        <v>427</v>
      </c>
      <c r="B390" t="s">
        <v>401</v>
      </c>
      <c r="C390">
        <v>101</v>
      </c>
      <c r="D390" t="str">
        <f t="shared" si="7"/>
        <v>RIC0060OTT_Start_101</v>
      </c>
      <c r="E390">
        <v>41</v>
      </c>
    </row>
    <row r="391" spans="1:5" x14ac:dyDescent="0.2">
      <c r="A391" t="s">
        <v>427</v>
      </c>
      <c r="B391" t="s">
        <v>401</v>
      </c>
      <c r="C391">
        <v>101</v>
      </c>
      <c r="D391" t="str">
        <f t="shared" si="7"/>
        <v>RIC0060OTT_Start_101</v>
      </c>
      <c r="E391">
        <v>37</v>
      </c>
    </row>
    <row r="392" spans="1:5" x14ac:dyDescent="0.2">
      <c r="A392" t="s">
        <v>427</v>
      </c>
      <c r="B392" t="s">
        <v>380</v>
      </c>
      <c r="C392">
        <v>101</v>
      </c>
      <c r="D392" t="str">
        <f t="shared" si="7"/>
        <v>RIC0060OTT_End_101</v>
      </c>
      <c r="E392">
        <v>-40</v>
      </c>
    </row>
    <row r="393" spans="1:5" x14ac:dyDescent="0.2">
      <c r="A393" t="s">
        <v>427</v>
      </c>
      <c r="B393" t="s">
        <v>380</v>
      </c>
      <c r="C393">
        <v>101</v>
      </c>
      <c r="D393" t="str">
        <f t="shared" si="7"/>
        <v>RIC0060OTT_End_101</v>
      </c>
      <c r="E393">
        <v>-42</v>
      </c>
    </row>
    <row r="394" spans="1:5" x14ac:dyDescent="0.2">
      <c r="A394" t="s">
        <v>427</v>
      </c>
      <c r="B394" t="s">
        <v>380</v>
      </c>
      <c r="C394">
        <v>101</v>
      </c>
      <c r="D394" t="str">
        <f t="shared" si="7"/>
        <v>RIC0060OTT_End_101</v>
      </c>
      <c r="E394">
        <v>-41</v>
      </c>
    </row>
    <row r="395" spans="1:5" x14ac:dyDescent="0.2">
      <c r="A395" t="s">
        <v>427</v>
      </c>
      <c r="B395" t="s">
        <v>380</v>
      </c>
      <c r="C395">
        <v>101</v>
      </c>
      <c r="D395" t="str">
        <f t="shared" si="7"/>
        <v>RIC0060OTT_End_101</v>
      </c>
      <c r="E395">
        <v>-38</v>
      </c>
    </row>
    <row r="396" spans="1:5" x14ac:dyDescent="0.2">
      <c r="A396" t="s">
        <v>427</v>
      </c>
      <c r="B396" t="s">
        <v>380</v>
      </c>
      <c r="C396">
        <v>101</v>
      </c>
      <c r="D396" t="str">
        <f t="shared" si="7"/>
        <v>RIC0060OTT_End_101</v>
      </c>
      <c r="E396">
        <v>-38</v>
      </c>
    </row>
    <row r="397" spans="1:5" x14ac:dyDescent="0.2">
      <c r="A397" t="s">
        <v>427</v>
      </c>
      <c r="B397" t="s">
        <v>380</v>
      </c>
      <c r="C397">
        <v>101</v>
      </c>
      <c r="D397" t="str">
        <f t="shared" si="7"/>
        <v>RIC0060OTT_End_101</v>
      </c>
      <c r="E397">
        <v>-39</v>
      </c>
    </row>
    <row r="398" spans="1:5" x14ac:dyDescent="0.2">
      <c r="A398" t="s">
        <v>427</v>
      </c>
      <c r="B398" t="s">
        <v>380</v>
      </c>
      <c r="C398">
        <v>101</v>
      </c>
      <c r="D398" t="str">
        <f t="shared" si="7"/>
        <v>RIC0060OTT_End_101</v>
      </c>
      <c r="E398">
        <v>-40</v>
      </c>
    </row>
    <row r="399" spans="1:5" x14ac:dyDescent="0.2">
      <c r="A399" t="s">
        <v>427</v>
      </c>
      <c r="B399" t="s">
        <v>380</v>
      </c>
      <c r="C399">
        <v>101</v>
      </c>
      <c r="D399" t="str">
        <f t="shared" si="7"/>
        <v>RIC0060OTT_End_101</v>
      </c>
      <c r="E399">
        <v>-44</v>
      </c>
    </row>
    <row r="400" spans="1:5" x14ac:dyDescent="0.2">
      <c r="A400" t="s">
        <v>427</v>
      </c>
      <c r="B400" t="s">
        <v>380</v>
      </c>
      <c r="C400">
        <v>101</v>
      </c>
      <c r="D400" t="str">
        <f t="shared" si="7"/>
        <v>RIC0060OTT_End_101</v>
      </c>
      <c r="E400">
        <v>-40</v>
      </c>
    </row>
    <row r="401" spans="1:5" x14ac:dyDescent="0.2">
      <c r="A401" t="s">
        <v>427</v>
      </c>
      <c r="B401" t="s">
        <v>380</v>
      </c>
      <c r="C401">
        <v>101</v>
      </c>
      <c r="D401" t="str">
        <f t="shared" si="7"/>
        <v>RIC0060OTT_End_101</v>
      </c>
      <c r="E401">
        <v>-39</v>
      </c>
    </row>
    <row r="402" spans="1:5" x14ac:dyDescent="0.2">
      <c r="A402" t="s">
        <v>427</v>
      </c>
      <c r="B402" t="s">
        <v>380</v>
      </c>
      <c r="C402">
        <v>101</v>
      </c>
      <c r="D402" t="str">
        <f t="shared" si="7"/>
        <v>RIC0060OTT_End_101</v>
      </c>
      <c r="E402">
        <v>-40</v>
      </c>
    </row>
    <row r="403" spans="1:5" x14ac:dyDescent="0.2">
      <c r="A403" t="s">
        <v>427</v>
      </c>
      <c r="B403" t="s">
        <v>380</v>
      </c>
      <c r="C403">
        <v>101</v>
      </c>
      <c r="D403" t="str">
        <f t="shared" si="7"/>
        <v>RIC0060OTT_End_101</v>
      </c>
      <c r="E403">
        <v>-41</v>
      </c>
    </row>
    <row r="404" spans="1:5" x14ac:dyDescent="0.2">
      <c r="A404" t="s">
        <v>427</v>
      </c>
      <c r="B404" t="s">
        <v>380</v>
      </c>
      <c r="C404">
        <v>101</v>
      </c>
      <c r="D404" t="str">
        <f t="shared" si="7"/>
        <v>RIC0060OTT_End_101</v>
      </c>
      <c r="E404">
        <v>-41</v>
      </c>
    </row>
    <row r="405" spans="1:5" x14ac:dyDescent="0.2">
      <c r="A405" t="s">
        <v>427</v>
      </c>
      <c r="B405" t="s">
        <v>380</v>
      </c>
      <c r="C405">
        <v>101</v>
      </c>
      <c r="D405" t="str">
        <f t="shared" si="7"/>
        <v>RIC0060OTT_End_101</v>
      </c>
      <c r="E405">
        <v>-43</v>
      </c>
    </row>
    <row r="406" spans="1:5" x14ac:dyDescent="0.2">
      <c r="A406" t="s">
        <v>427</v>
      </c>
      <c r="B406" t="s">
        <v>380</v>
      </c>
      <c r="C406">
        <v>101</v>
      </c>
      <c r="D406" t="str">
        <f t="shared" si="7"/>
        <v>RIC0060OTT_End_101</v>
      </c>
      <c r="E406">
        <v>-41</v>
      </c>
    </row>
    <row r="407" spans="1:5" x14ac:dyDescent="0.2">
      <c r="A407" t="s">
        <v>427</v>
      </c>
      <c r="B407" t="s">
        <v>380</v>
      </c>
      <c r="C407">
        <v>101</v>
      </c>
      <c r="D407" t="str">
        <f t="shared" si="7"/>
        <v>RIC0060OTT_End_101</v>
      </c>
      <c r="E407">
        <v>-41</v>
      </c>
    </row>
    <row r="408" spans="1:5" x14ac:dyDescent="0.2">
      <c r="A408" t="s">
        <v>427</v>
      </c>
      <c r="B408" t="s">
        <v>380</v>
      </c>
      <c r="C408">
        <v>101</v>
      </c>
      <c r="D408" t="str">
        <f t="shared" si="7"/>
        <v>RIC0060OTT_End_101</v>
      </c>
      <c r="E408">
        <v>-41</v>
      </c>
    </row>
    <row r="409" spans="1:5" x14ac:dyDescent="0.2">
      <c r="A409" t="s">
        <v>427</v>
      </c>
      <c r="B409" t="s">
        <v>380</v>
      </c>
      <c r="C409">
        <v>101</v>
      </c>
      <c r="D409" t="str">
        <f t="shared" si="7"/>
        <v>RIC0060OTT_End_101</v>
      </c>
      <c r="E409">
        <v>-38</v>
      </c>
    </row>
    <row r="410" spans="1:5" x14ac:dyDescent="0.2">
      <c r="A410" t="s">
        <v>427</v>
      </c>
      <c r="B410" t="s">
        <v>401</v>
      </c>
      <c r="C410">
        <v>41</v>
      </c>
      <c r="D410" t="str">
        <f t="shared" si="7"/>
        <v>RIC0060OTT_Start_41</v>
      </c>
      <c r="E410">
        <v>13</v>
      </c>
    </row>
    <row r="411" spans="1:5" x14ac:dyDescent="0.2">
      <c r="A411" t="s">
        <v>427</v>
      </c>
      <c r="B411" t="s">
        <v>401</v>
      </c>
      <c r="C411">
        <v>41</v>
      </c>
      <c r="D411" t="str">
        <f t="shared" si="7"/>
        <v>RIC0060OTT_Start_41</v>
      </c>
      <c r="E411">
        <v>14</v>
      </c>
    </row>
    <row r="412" spans="1:5" x14ac:dyDescent="0.2">
      <c r="A412" t="s">
        <v>427</v>
      </c>
      <c r="B412" t="s">
        <v>401</v>
      </c>
      <c r="C412">
        <v>41</v>
      </c>
      <c r="D412" t="str">
        <f t="shared" si="7"/>
        <v>RIC0060OTT_Start_41</v>
      </c>
      <c r="E412">
        <v>8</v>
      </c>
    </row>
    <row r="413" spans="1:5" x14ac:dyDescent="0.2">
      <c r="A413" t="s">
        <v>427</v>
      </c>
      <c r="B413" t="s">
        <v>401</v>
      </c>
      <c r="C413">
        <v>41</v>
      </c>
      <c r="D413" t="str">
        <f t="shared" si="7"/>
        <v>RIC0060OTT_Start_41</v>
      </c>
      <c r="E413">
        <v>13</v>
      </c>
    </row>
    <row r="414" spans="1:5" x14ac:dyDescent="0.2">
      <c r="A414" t="s">
        <v>427</v>
      </c>
      <c r="B414" t="s">
        <v>401</v>
      </c>
      <c r="C414">
        <v>41</v>
      </c>
      <c r="D414" t="str">
        <f t="shared" si="7"/>
        <v>RIC0060OTT_Start_41</v>
      </c>
      <c r="E414">
        <v>15</v>
      </c>
    </row>
    <row r="415" spans="1:5" x14ac:dyDescent="0.2">
      <c r="A415" t="s">
        <v>427</v>
      </c>
      <c r="B415" t="s">
        <v>401</v>
      </c>
      <c r="C415">
        <v>41</v>
      </c>
      <c r="D415" t="str">
        <f t="shared" si="7"/>
        <v>RIC0060OTT_Start_41</v>
      </c>
      <c r="E415">
        <v>38</v>
      </c>
    </row>
    <row r="416" spans="1:5" x14ac:dyDescent="0.2">
      <c r="A416" t="s">
        <v>427</v>
      </c>
      <c r="B416" t="s">
        <v>401</v>
      </c>
      <c r="C416">
        <v>41</v>
      </c>
      <c r="D416" t="str">
        <f t="shared" si="7"/>
        <v>RIC0060OTT_Start_41</v>
      </c>
      <c r="E416">
        <v>12</v>
      </c>
    </row>
    <row r="417" spans="1:5" x14ac:dyDescent="0.2">
      <c r="A417" t="s">
        <v>427</v>
      </c>
      <c r="B417" t="s">
        <v>401</v>
      </c>
      <c r="C417">
        <v>41</v>
      </c>
      <c r="D417" t="str">
        <f t="shared" si="7"/>
        <v>RIC0060OTT_Start_41</v>
      </c>
      <c r="E417">
        <v>14</v>
      </c>
    </row>
    <row r="418" spans="1:5" x14ac:dyDescent="0.2">
      <c r="A418" t="s">
        <v>427</v>
      </c>
      <c r="B418" t="s">
        <v>401</v>
      </c>
      <c r="C418">
        <v>41</v>
      </c>
      <c r="D418" t="str">
        <f t="shared" si="7"/>
        <v>RIC0060OTT_Start_41</v>
      </c>
      <c r="E418">
        <v>11</v>
      </c>
    </row>
    <row r="419" spans="1:5" x14ac:dyDescent="0.2">
      <c r="A419" t="s">
        <v>427</v>
      </c>
      <c r="B419" t="s">
        <v>401</v>
      </c>
      <c r="C419">
        <v>41</v>
      </c>
      <c r="D419" t="str">
        <f t="shared" si="7"/>
        <v>RIC0060OTT_Start_41</v>
      </c>
      <c r="E419">
        <v>13</v>
      </c>
    </row>
    <row r="420" spans="1:5" x14ac:dyDescent="0.2">
      <c r="A420" t="s">
        <v>427</v>
      </c>
      <c r="B420" t="s">
        <v>401</v>
      </c>
      <c r="C420">
        <v>41</v>
      </c>
      <c r="D420" t="str">
        <f t="shared" si="7"/>
        <v>RIC0060OTT_Start_41</v>
      </c>
      <c r="E420">
        <v>15</v>
      </c>
    </row>
    <row r="421" spans="1:5" x14ac:dyDescent="0.2">
      <c r="A421" t="s">
        <v>427</v>
      </c>
      <c r="B421" t="s">
        <v>401</v>
      </c>
      <c r="C421">
        <v>41</v>
      </c>
      <c r="D421" t="str">
        <f t="shared" si="7"/>
        <v>RIC0060OTT_Start_41</v>
      </c>
      <c r="E421">
        <v>12</v>
      </c>
    </row>
    <row r="422" spans="1:5" x14ac:dyDescent="0.2">
      <c r="A422" t="s">
        <v>427</v>
      </c>
      <c r="B422" t="s">
        <v>401</v>
      </c>
      <c r="C422">
        <v>41</v>
      </c>
      <c r="D422" t="str">
        <f t="shared" si="7"/>
        <v>RIC0060OTT_Start_41</v>
      </c>
      <c r="E422">
        <v>11</v>
      </c>
    </row>
    <row r="423" spans="1:5" x14ac:dyDescent="0.2">
      <c r="A423" t="s">
        <v>427</v>
      </c>
      <c r="B423" t="s">
        <v>401</v>
      </c>
      <c r="C423">
        <v>41</v>
      </c>
      <c r="D423" t="str">
        <f t="shared" si="7"/>
        <v>RIC0060OTT_Start_41</v>
      </c>
      <c r="E423">
        <v>12</v>
      </c>
    </row>
    <row r="424" spans="1:5" x14ac:dyDescent="0.2">
      <c r="A424" t="s">
        <v>427</v>
      </c>
      <c r="B424" t="s">
        <v>401</v>
      </c>
      <c r="C424">
        <v>41</v>
      </c>
      <c r="D424" t="str">
        <f t="shared" si="7"/>
        <v>RIC0060OTT_Start_41</v>
      </c>
      <c r="E424">
        <v>13</v>
      </c>
    </row>
    <row r="425" spans="1:5" x14ac:dyDescent="0.2">
      <c r="A425" t="s">
        <v>427</v>
      </c>
      <c r="B425" t="s">
        <v>401</v>
      </c>
      <c r="C425">
        <v>41</v>
      </c>
      <c r="D425" t="str">
        <f t="shared" si="7"/>
        <v>RIC0060OTT_Start_41</v>
      </c>
      <c r="E425">
        <v>11</v>
      </c>
    </row>
    <row r="426" spans="1:5" x14ac:dyDescent="0.2">
      <c r="A426" t="s">
        <v>427</v>
      </c>
      <c r="B426" t="s">
        <v>401</v>
      </c>
      <c r="C426">
        <v>41</v>
      </c>
      <c r="D426" t="str">
        <f t="shared" si="7"/>
        <v>RIC0060OTT_Start_41</v>
      </c>
      <c r="E426">
        <v>17</v>
      </c>
    </row>
    <row r="427" spans="1:5" x14ac:dyDescent="0.2">
      <c r="A427" t="s">
        <v>427</v>
      </c>
      <c r="B427" t="s">
        <v>401</v>
      </c>
      <c r="C427">
        <v>41</v>
      </c>
      <c r="D427" t="str">
        <f t="shared" si="7"/>
        <v>RIC0060OTT_Start_41</v>
      </c>
      <c r="E427">
        <v>11</v>
      </c>
    </row>
    <row r="428" spans="1:5" x14ac:dyDescent="0.2">
      <c r="A428" t="s">
        <v>427</v>
      </c>
      <c r="B428" t="s">
        <v>380</v>
      </c>
      <c r="C428">
        <v>41</v>
      </c>
      <c r="D428" t="str">
        <f t="shared" si="7"/>
        <v>RIC0060OTT_End_41</v>
      </c>
      <c r="E428">
        <v>-10</v>
      </c>
    </row>
    <row r="429" spans="1:5" x14ac:dyDescent="0.2">
      <c r="A429" t="s">
        <v>427</v>
      </c>
      <c r="B429" t="s">
        <v>380</v>
      </c>
      <c r="C429">
        <v>41</v>
      </c>
      <c r="D429" t="str">
        <f t="shared" si="7"/>
        <v>RIC0060OTT_End_41</v>
      </c>
      <c r="E429">
        <v>-12</v>
      </c>
    </row>
    <row r="430" spans="1:5" x14ac:dyDescent="0.2">
      <c r="A430" t="s">
        <v>427</v>
      </c>
      <c r="B430" t="s">
        <v>380</v>
      </c>
      <c r="C430">
        <v>41</v>
      </c>
      <c r="D430" t="str">
        <f t="shared" si="7"/>
        <v>RIC0060OTT_End_41</v>
      </c>
      <c r="E430">
        <v>-11</v>
      </c>
    </row>
    <row r="431" spans="1:5" x14ac:dyDescent="0.2">
      <c r="A431" t="s">
        <v>427</v>
      </c>
      <c r="B431" t="s">
        <v>380</v>
      </c>
      <c r="C431">
        <v>41</v>
      </c>
      <c r="D431" t="str">
        <f t="shared" si="7"/>
        <v>RIC0060OTT_End_41</v>
      </c>
      <c r="E431">
        <v>-9</v>
      </c>
    </row>
    <row r="432" spans="1:5" x14ac:dyDescent="0.2">
      <c r="A432" t="s">
        <v>427</v>
      </c>
      <c r="B432" t="s">
        <v>380</v>
      </c>
      <c r="C432">
        <v>41</v>
      </c>
      <c r="D432" t="str">
        <f t="shared" si="7"/>
        <v>RIC0060OTT_End_41</v>
      </c>
      <c r="E432">
        <v>-8</v>
      </c>
    </row>
    <row r="433" spans="1:5" x14ac:dyDescent="0.2">
      <c r="A433" t="s">
        <v>427</v>
      </c>
      <c r="B433" t="s">
        <v>380</v>
      </c>
      <c r="C433">
        <v>41</v>
      </c>
      <c r="D433" t="str">
        <f t="shared" si="7"/>
        <v>RIC0060OTT_End_41</v>
      </c>
      <c r="E433">
        <v>-10</v>
      </c>
    </row>
    <row r="434" spans="1:5" x14ac:dyDescent="0.2">
      <c r="A434" t="s">
        <v>427</v>
      </c>
      <c r="B434" t="s">
        <v>380</v>
      </c>
      <c r="C434">
        <v>41</v>
      </c>
      <c r="D434" t="str">
        <f t="shared" si="7"/>
        <v>RIC0060OTT_End_41</v>
      </c>
      <c r="E434">
        <v>-8</v>
      </c>
    </row>
    <row r="435" spans="1:5" x14ac:dyDescent="0.2">
      <c r="A435" t="s">
        <v>427</v>
      </c>
      <c r="B435" t="s">
        <v>380</v>
      </c>
      <c r="C435">
        <v>41</v>
      </c>
      <c r="D435" t="str">
        <f t="shared" si="7"/>
        <v>RIC0060OTT_End_41</v>
      </c>
      <c r="E435">
        <v>-14</v>
      </c>
    </row>
    <row r="436" spans="1:5" x14ac:dyDescent="0.2">
      <c r="A436" t="s">
        <v>427</v>
      </c>
      <c r="B436" t="s">
        <v>380</v>
      </c>
      <c r="C436">
        <v>41</v>
      </c>
      <c r="D436" t="str">
        <f t="shared" si="7"/>
        <v>RIC0060OTT_End_41</v>
      </c>
      <c r="E436">
        <v>-10</v>
      </c>
    </row>
    <row r="437" spans="1:5" x14ac:dyDescent="0.2">
      <c r="A437" t="s">
        <v>427</v>
      </c>
      <c r="B437" t="s">
        <v>380</v>
      </c>
      <c r="C437">
        <v>41</v>
      </c>
      <c r="D437" t="str">
        <f t="shared" si="7"/>
        <v>RIC0060OTT_End_41</v>
      </c>
      <c r="E437">
        <v>-10</v>
      </c>
    </row>
    <row r="438" spans="1:5" x14ac:dyDescent="0.2">
      <c r="A438" t="s">
        <v>427</v>
      </c>
      <c r="B438" t="s">
        <v>380</v>
      </c>
      <c r="C438">
        <v>41</v>
      </c>
      <c r="D438" t="str">
        <f t="shared" si="7"/>
        <v>RIC0060OTT_End_41</v>
      </c>
      <c r="E438">
        <v>-12</v>
      </c>
    </row>
    <row r="439" spans="1:5" x14ac:dyDescent="0.2">
      <c r="A439" t="s">
        <v>427</v>
      </c>
      <c r="B439" t="s">
        <v>380</v>
      </c>
      <c r="C439">
        <v>41</v>
      </c>
      <c r="D439" t="str">
        <f t="shared" si="7"/>
        <v>RIC0060OTT_End_41</v>
      </c>
      <c r="E439">
        <v>-11</v>
      </c>
    </row>
    <row r="440" spans="1:5" x14ac:dyDescent="0.2">
      <c r="A440" t="s">
        <v>427</v>
      </c>
      <c r="B440" t="s">
        <v>380</v>
      </c>
      <c r="C440">
        <v>41</v>
      </c>
      <c r="D440" t="str">
        <f t="shared" si="7"/>
        <v>RIC0060OTT_End_41</v>
      </c>
      <c r="E440">
        <v>-12</v>
      </c>
    </row>
    <row r="441" spans="1:5" x14ac:dyDescent="0.2">
      <c r="A441" t="s">
        <v>427</v>
      </c>
      <c r="B441" t="s">
        <v>380</v>
      </c>
      <c r="C441">
        <v>41</v>
      </c>
      <c r="D441" t="str">
        <f t="shared" si="7"/>
        <v>RIC0060OTT_End_41</v>
      </c>
      <c r="E441">
        <v>-12</v>
      </c>
    </row>
    <row r="442" spans="1:5" x14ac:dyDescent="0.2">
      <c r="A442" t="s">
        <v>427</v>
      </c>
      <c r="B442" t="s">
        <v>380</v>
      </c>
      <c r="C442">
        <v>41</v>
      </c>
      <c r="D442" t="str">
        <f t="shared" si="7"/>
        <v>RIC0060OTT_End_41</v>
      </c>
      <c r="E442">
        <v>-10</v>
      </c>
    </row>
    <row r="443" spans="1:5" x14ac:dyDescent="0.2">
      <c r="A443" t="s">
        <v>427</v>
      </c>
      <c r="B443" t="s">
        <v>380</v>
      </c>
      <c r="C443">
        <v>41</v>
      </c>
      <c r="D443" t="str">
        <f t="shared" si="7"/>
        <v>RIC0060OTT_End_41</v>
      </c>
      <c r="E443">
        <v>-11</v>
      </c>
    </row>
    <row r="444" spans="1:5" x14ac:dyDescent="0.2">
      <c r="A444" t="s">
        <v>427</v>
      </c>
      <c r="B444" t="s">
        <v>380</v>
      </c>
      <c r="C444">
        <v>41</v>
      </c>
      <c r="D444" t="str">
        <f t="shared" si="7"/>
        <v>RIC0060OTT_End_41</v>
      </c>
      <c r="E444">
        <v>-11</v>
      </c>
    </row>
    <row r="445" spans="1:5" x14ac:dyDescent="0.2">
      <c r="A445" t="s">
        <v>427</v>
      </c>
      <c r="B445" t="s">
        <v>380</v>
      </c>
      <c r="C445">
        <v>41</v>
      </c>
      <c r="D445" t="str">
        <f t="shared" si="7"/>
        <v>RIC0060OTT_End_41</v>
      </c>
      <c r="E445">
        <v>-9</v>
      </c>
    </row>
  </sheetData>
  <sortState ref="H2:H17">
    <sortCondition ref="H1"/>
  </sortState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2" sqref="F12"/>
    </sheetView>
  </sheetViews>
  <sheetFormatPr defaultRowHeight="12.75" x14ac:dyDescent="0.2"/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RLK3858AST</vt:lpstr>
      <vt:lpstr>Bond1</vt:lpstr>
      <vt:lpstr>Bond2</vt:lpstr>
      <vt:lpstr>切割位置定義</vt:lpstr>
      <vt:lpstr>原始資料vs平滑資料</vt:lpstr>
      <vt:lpstr>線群</vt:lpstr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C01825 SY Chiang (IT)</dc:creator>
  <cp:lastModifiedBy>C01825</cp:lastModifiedBy>
  <dcterms:created xsi:type="dcterms:W3CDTF">2022-05-27T03:24:14Z</dcterms:created>
  <dcterms:modified xsi:type="dcterms:W3CDTF">2023-02-23T05:24:23Z</dcterms:modified>
</cp:coreProperties>
</file>